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garcia\PycharmProjects\SNTDProject\AUTO\Resource\"/>
    </mc:Choice>
  </mc:AlternateContent>
  <xr:revisionPtr revIDLastSave="0" documentId="13_ncr:1_{F706DDA3-1FC0-41B8-B601-6CF413701A87}" xr6:coauthVersionLast="47" xr6:coauthVersionMax="47" xr10:uidLastSave="{00000000-0000-0000-0000-000000000000}"/>
  <bookViews>
    <workbookView xWindow="-108" yWindow="-108" windowWidth="23256" windowHeight="12576" tabRatio="778" xr2:uid="{00000000-000D-0000-FFFF-FFFF00000000}"/>
  </bookViews>
  <sheets>
    <sheet name="Cotizador" sheetId="2" r:id="rId1"/>
    <sheet name="Fechas de pago" sheetId="7" r:id="rId2"/>
    <sheet name="Subsidio" sheetId="3" r:id="rId3"/>
    <sheet name="CAT" sheetId="4" r:id="rId4"/>
    <sheet name="TA" sheetId="10" r:id="rId5"/>
    <sheet name="Hoja2" sheetId="5" r:id="rId6"/>
    <sheet name="Hoja3" sheetId="8" r:id="rId7"/>
    <sheet name="Simulador Subsidio" sheetId="9" r:id="rId8"/>
  </sheets>
  <externalReferences>
    <externalReference r:id="rId9"/>
  </externalReferences>
  <definedNames>
    <definedName name="_208">#REF!</definedName>
    <definedName name="_301">#REF!</definedName>
    <definedName name="_xlnm._FilterDatabase" localSheetId="0" hidden="1">Cotizador!$J$13:$J$14</definedName>
    <definedName name="AA">Subsidio!#REF!</definedName>
    <definedName name="AÑO">[1]Catálogo!#REF!</definedName>
    <definedName name="CHALLENGE_SOMOS_PEUGEOT">Subsidio!#REF!</definedName>
    <definedName name="Contado">Hoja2!$B$11:$B$14</definedName>
    <definedName name="Externo">Hoja2!$D$11</definedName>
    <definedName name="Financiado">Hoja2!$A$11:$A$13</definedName>
    <definedName name="Gratis">Hoja2!$C$11</definedName>
    <definedName name="M2018_208">#REF!</definedName>
    <definedName name="M2018_301">#REF!</definedName>
    <definedName name="M2019_208">#REF!</definedName>
    <definedName name="M2019_301">#REF!</definedName>
    <definedName name="Mi_Peugeot_Incluído">Subsidio!#REF!</definedName>
    <definedName name="MODELO">[1]Catálogo!#REF!</definedName>
    <definedName name="MODELO_2018">#REF!</definedName>
    <definedName name="MODELO_2019">#REF!</definedName>
    <definedName name="Ofensiva_SUV_Lanzamiento">Subsidio!#REF!</definedName>
    <definedName name="Ofensiva_SUV_sin_CxA">Subsidio!#REF!</definedName>
    <definedName name="PLANES">Subsidio!#REF!</definedName>
    <definedName name="Promoción_Partner">Subsidio!#REF!</definedName>
    <definedName name="PSA_Seminuevos">Subsidio!#REF!</definedName>
    <definedName name="solver_adj" localSheetId="0" hidden="1">Cotizador!$C$20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Cotizador!$D$25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Cotizador!$C$20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Cotizador!$E$25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omos_Eco_Peugeot">Subsidio!#REF!</definedName>
    <definedName name="Somos_Peugeot">Subsidio!#REF!</definedName>
    <definedName name="SOMOS_PURETECH">Subsidio!#REF!</definedName>
    <definedName name="Somos_Universitarios">Subsidio!#REF!</definedName>
    <definedName name="VERSIO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2" l="1"/>
  <c r="D22" i="2" s="1"/>
  <c r="C16" i="2" s="1"/>
  <c r="E11" i="10" l="1"/>
  <c r="C60" i="4" l="1"/>
  <c r="C15" i="4"/>
  <c r="X36" i="2"/>
  <c r="E12" i="10" s="1"/>
  <c r="C14" i="2"/>
  <c r="D11" i="2"/>
  <c r="BT84" i="2" s="1"/>
  <c r="C21" i="4" l="1"/>
  <c r="C12" i="4"/>
  <c r="BT48" i="2"/>
  <c r="BT60" i="2"/>
  <c r="BT72" i="2"/>
  <c r="BT96" i="2"/>
  <c r="C68" i="4"/>
  <c r="C8" i="10" l="1"/>
  <c r="C7" i="10"/>
  <c r="C6" i="10"/>
  <c r="C5" i="10"/>
  <c r="C4" i="10"/>
  <c r="H11" i="10"/>
  <c r="G11" i="10"/>
  <c r="B11" i="10"/>
  <c r="K3" i="10" l="1"/>
  <c r="Z36" i="2" l="1"/>
  <c r="C71" i="4"/>
  <c r="C61" i="4"/>
  <c r="C69" i="4"/>
  <c r="C30" i="4"/>
  <c r="F8" i="2" l="1"/>
  <c r="C6" i="4"/>
  <c r="C5" i="4" s="1"/>
  <c r="C70" i="4" l="1"/>
  <c r="C62" i="4"/>
  <c r="H16" i="2" l="1"/>
  <c r="B12" i="3" l="1"/>
  <c r="B11" i="3"/>
  <c r="H17" i="2" l="1"/>
  <c r="B10" i="3" l="1"/>
  <c r="B5" i="3"/>
  <c r="F5" i="2" l="1"/>
  <c r="X30" i="2" l="1"/>
  <c r="AA30" i="2" s="1"/>
  <c r="W30" i="2"/>
  <c r="AB30" i="2" l="1"/>
  <c r="Y30" i="2"/>
  <c r="Z30" i="2"/>
  <c r="C15" i="9"/>
  <c r="C11" i="9"/>
  <c r="C10" i="9"/>
  <c r="C5" i="9"/>
  <c r="C35" i="4" l="1"/>
  <c r="C53" i="4" s="1"/>
  <c r="C34" i="4"/>
  <c r="C29" i="4"/>
  <c r="C23" i="4"/>
  <c r="C22" i="4"/>
  <c r="C14" i="4"/>
  <c r="C32" i="4" s="1"/>
  <c r="C13" i="4"/>
  <c r="E12" i="4"/>
  <c r="E10" i="4"/>
  <c r="D10" i="4"/>
  <c r="B107" i="2"/>
  <c r="B83" i="10" s="1"/>
  <c r="B106" i="2"/>
  <c r="B82" i="10" s="1"/>
  <c r="B105" i="2"/>
  <c r="B81" i="10" s="1"/>
  <c r="B104" i="2"/>
  <c r="B103" i="2"/>
  <c r="B79" i="10" s="1"/>
  <c r="B102" i="2"/>
  <c r="B101" i="2"/>
  <c r="B77" i="10" s="1"/>
  <c r="B100" i="2"/>
  <c r="B99" i="2"/>
  <c r="B75" i="10" s="1"/>
  <c r="B98" i="2"/>
  <c r="B74" i="10" s="1"/>
  <c r="B97" i="2"/>
  <c r="B96" i="2"/>
  <c r="B72" i="10" s="1"/>
  <c r="B95" i="2"/>
  <c r="B71" i="10" s="1"/>
  <c r="B94" i="2"/>
  <c r="B93" i="2"/>
  <c r="B92" i="2"/>
  <c r="B68" i="10" s="1"/>
  <c r="B91" i="2"/>
  <c r="B67" i="10" s="1"/>
  <c r="B90" i="2"/>
  <c r="B66" i="10" s="1"/>
  <c r="B89" i="2"/>
  <c r="B65" i="10" s="1"/>
  <c r="B88" i="2"/>
  <c r="B87" i="2"/>
  <c r="B63" i="10" s="1"/>
  <c r="B86" i="2"/>
  <c r="B85" i="2"/>
  <c r="B61" i="10" s="1"/>
  <c r="B84" i="2"/>
  <c r="B83" i="2"/>
  <c r="B59" i="10" s="1"/>
  <c r="B82" i="2"/>
  <c r="B81" i="2"/>
  <c r="B80" i="2"/>
  <c r="B79" i="2"/>
  <c r="B78" i="2"/>
  <c r="B54" i="10" s="1"/>
  <c r="B77" i="2"/>
  <c r="B76" i="2"/>
  <c r="B52" i="10" s="1"/>
  <c r="B75" i="2"/>
  <c r="B51" i="10" s="1"/>
  <c r="B74" i="2"/>
  <c r="B73" i="2"/>
  <c r="B72" i="2"/>
  <c r="B71" i="2"/>
  <c r="B47" i="10" s="1"/>
  <c r="B70" i="2"/>
  <c r="B69" i="2"/>
  <c r="B68" i="2"/>
  <c r="B67" i="2"/>
  <c r="B66" i="2"/>
  <c r="B65" i="2"/>
  <c r="B64" i="2"/>
  <c r="B40" i="10" s="1"/>
  <c r="B63" i="2"/>
  <c r="B62" i="2"/>
  <c r="B38" i="10" s="1"/>
  <c r="B61" i="2"/>
  <c r="B60" i="2"/>
  <c r="B36" i="10" s="1"/>
  <c r="B59" i="2"/>
  <c r="B35" i="10" s="1"/>
  <c r="B58" i="2"/>
  <c r="B34" i="10" s="1"/>
  <c r="B57" i="2"/>
  <c r="B56" i="2"/>
  <c r="B55" i="2"/>
  <c r="B54" i="2"/>
  <c r="B30" i="10" s="1"/>
  <c r="B53" i="2"/>
  <c r="B52" i="2"/>
  <c r="B28" i="10" s="1"/>
  <c r="B51" i="2"/>
  <c r="B27" i="10" s="1"/>
  <c r="B50" i="2"/>
  <c r="B49" i="2"/>
  <c r="B48" i="2"/>
  <c r="B47" i="2"/>
  <c r="B23" i="10" s="1"/>
  <c r="B46" i="2"/>
  <c r="B45" i="2"/>
  <c r="B44" i="2"/>
  <c r="B43" i="2"/>
  <c r="B42" i="2"/>
  <c r="B41" i="2"/>
  <c r="B17" i="10" s="1"/>
  <c r="B40" i="2"/>
  <c r="B16" i="10" s="1"/>
  <c r="B39" i="2"/>
  <c r="B15" i="10" s="1"/>
  <c r="B38" i="2"/>
  <c r="B37" i="2"/>
  <c r="AH36" i="2"/>
  <c r="AB36" i="2"/>
  <c r="B36" i="2"/>
  <c r="AZ35" i="2"/>
  <c r="AW35" i="2"/>
  <c r="AR35" i="2"/>
  <c r="AP35" i="2"/>
  <c r="AM35" i="2"/>
  <c r="AC35" i="2"/>
  <c r="L35" i="2"/>
  <c r="V35" i="2" s="1"/>
  <c r="AF35" i="2" s="1"/>
  <c r="V32" i="2"/>
  <c r="AV30" i="2"/>
  <c r="AU107" i="2" s="1"/>
  <c r="BP107" i="2" s="1"/>
  <c r="AU30" i="2"/>
  <c r="AT30" i="2"/>
  <c r="AS30" i="2"/>
  <c r="AR30" i="2"/>
  <c r="AQ30" i="2"/>
  <c r="AG30" i="2"/>
  <c r="AH30" i="2" s="1"/>
  <c r="AI30" i="2" s="1"/>
  <c r="AJ30" i="2" s="1"/>
  <c r="AK30" i="2" s="1"/>
  <c r="W28" i="2"/>
  <c r="B1" i="7"/>
  <c r="AJ36" i="2" l="1"/>
  <c r="AL36" i="2" s="1"/>
  <c r="G12" i="10"/>
  <c r="AR36" i="2"/>
  <c r="F12" i="10" s="1"/>
  <c r="F11" i="10"/>
  <c r="AZ48" i="2"/>
  <c r="B24" i="10"/>
  <c r="AP56" i="2"/>
  <c r="B32" i="10"/>
  <c r="AZ72" i="2"/>
  <c r="B48" i="10"/>
  <c r="AZ80" i="2"/>
  <c r="B56" i="10"/>
  <c r="AZ88" i="2"/>
  <c r="B64" i="10"/>
  <c r="AZ104" i="2"/>
  <c r="B80" i="10"/>
  <c r="AZ49" i="2"/>
  <c r="B25" i="10"/>
  <c r="AZ57" i="2"/>
  <c r="B33" i="10"/>
  <c r="AZ65" i="2"/>
  <c r="B41" i="10"/>
  <c r="AZ73" i="2"/>
  <c r="B49" i="10"/>
  <c r="AZ81" i="2"/>
  <c r="B57" i="10"/>
  <c r="AZ97" i="2"/>
  <c r="B73" i="10"/>
  <c r="AZ42" i="2"/>
  <c r="B18" i="10"/>
  <c r="AZ66" i="2"/>
  <c r="B42" i="10"/>
  <c r="AZ74" i="2"/>
  <c r="B50" i="10"/>
  <c r="AZ82" i="2"/>
  <c r="B58" i="10"/>
  <c r="L67" i="2"/>
  <c r="V67" i="2" s="1"/>
  <c r="B43" i="10"/>
  <c r="L50" i="2"/>
  <c r="V50" i="2" s="1"/>
  <c r="B26" i="10"/>
  <c r="AZ43" i="2"/>
  <c r="B19" i="10"/>
  <c r="AZ44" i="2"/>
  <c r="B20" i="10"/>
  <c r="AZ68" i="2"/>
  <c r="B44" i="10"/>
  <c r="AP84" i="2"/>
  <c r="B60" i="10"/>
  <c r="AZ100" i="2"/>
  <c r="B76" i="10"/>
  <c r="L37" i="2"/>
  <c r="V37" i="2" s="1"/>
  <c r="B13" i="10"/>
  <c r="L45" i="2"/>
  <c r="V45" i="2" s="1"/>
  <c r="B21" i="10"/>
  <c r="AZ53" i="2"/>
  <c r="B29" i="10"/>
  <c r="AZ61" i="2"/>
  <c r="B37" i="10"/>
  <c r="AZ69" i="2"/>
  <c r="B45" i="10"/>
  <c r="AZ77" i="2"/>
  <c r="B53" i="10"/>
  <c r="L93" i="2"/>
  <c r="V93" i="2" s="1"/>
  <c r="B69" i="10"/>
  <c r="AZ36" i="2"/>
  <c r="B12" i="10"/>
  <c r="AZ38" i="2"/>
  <c r="B14" i="10"/>
  <c r="AZ46" i="2"/>
  <c r="B22" i="10"/>
  <c r="AZ70" i="2"/>
  <c r="B46" i="10"/>
  <c r="AZ86" i="2"/>
  <c r="B62" i="10"/>
  <c r="AZ94" i="2"/>
  <c r="B70" i="10"/>
  <c r="AZ102" i="2"/>
  <c r="B78" i="10"/>
  <c r="AZ55" i="2"/>
  <c r="B31" i="10"/>
  <c r="AZ63" i="2"/>
  <c r="B39" i="10"/>
  <c r="AZ79" i="2"/>
  <c r="B55" i="10"/>
  <c r="C31" i="4"/>
  <c r="C42" i="4" s="1"/>
  <c r="C43" i="4"/>
  <c r="C40" i="4"/>
  <c r="C41" i="4"/>
  <c r="AH96" i="2"/>
  <c r="AU96" i="2"/>
  <c r="BP96" i="2" s="1"/>
  <c r="AU97" i="2"/>
  <c r="BP97" i="2" s="1"/>
  <c r="AU98" i="2"/>
  <c r="BP98" i="2" s="1"/>
  <c r="AU99" i="2"/>
  <c r="BP99" i="2" s="1"/>
  <c r="AU100" i="2"/>
  <c r="BP100" i="2" s="1"/>
  <c r="AU101" i="2"/>
  <c r="BP101" i="2" s="1"/>
  <c r="AU102" i="2"/>
  <c r="BP102" i="2" s="1"/>
  <c r="AU103" i="2"/>
  <c r="BP103" i="2" s="1"/>
  <c r="AU104" i="2"/>
  <c r="BP104" i="2" s="1"/>
  <c r="AU105" i="2"/>
  <c r="BP105" i="2" s="1"/>
  <c r="AU106" i="2"/>
  <c r="BP106" i="2" s="1"/>
  <c r="AF50" i="2"/>
  <c r="L72" i="2"/>
  <c r="V72" i="2" s="1"/>
  <c r="L84" i="2"/>
  <c r="V84" i="2" s="1"/>
  <c r="L55" i="2"/>
  <c r="V55" i="2" s="1"/>
  <c r="AA55" i="2" s="1"/>
  <c r="L53" i="2"/>
  <c r="V53" i="2" s="1"/>
  <c r="AA53" i="2" s="1"/>
  <c r="L63" i="2"/>
  <c r="V63" i="2" s="1"/>
  <c r="AA63" i="2" s="1"/>
  <c r="AP65" i="2"/>
  <c r="AP80" i="2"/>
  <c r="AP100" i="2"/>
  <c r="AP43" i="2"/>
  <c r="L74" i="2"/>
  <c r="V74" i="2" s="1"/>
  <c r="AA74" i="2" s="1"/>
  <c r="L85" i="2"/>
  <c r="V85" i="2" s="1"/>
  <c r="AA85" i="2" s="1"/>
  <c r="AP88" i="2"/>
  <c r="AP74" i="2"/>
  <c r="B9" i="7"/>
  <c r="B14" i="7" s="1"/>
  <c r="C14" i="7" s="1"/>
  <c r="B7" i="7"/>
  <c r="B12" i="7" s="1"/>
  <c r="C12" i="7" s="1"/>
  <c r="D12" i="7" s="1"/>
  <c r="E12" i="7" s="1"/>
  <c r="F12" i="7" s="1"/>
  <c r="G12" i="7" s="1"/>
  <c r="H12" i="7" s="1"/>
  <c r="I12" i="7" s="1"/>
  <c r="J12" i="7" s="1"/>
  <c r="K12" i="7" s="1"/>
  <c r="L12" i="7" s="1"/>
  <c r="M12" i="7" s="1"/>
  <c r="N12" i="7" s="1"/>
  <c r="O12" i="7" s="1"/>
  <c r="P12" i="7" s="1"/>
  <c r="Q12" i="7" s="1"/>
  <c r="R12" i="7" s="1"/>
  <c r="S12" i="7" s="1"/>
  <c r="T12" i="7" s="1"/>
  <c r="U12" i="7" s="1"/>
  <c r="V12" i="7" s="1"/>
  <c r="W12" i="7" s="1"/>
  <c r="X12" i="7" s="1"/>
  <c r="Y12" i="7" s="1"/>
  <c r="Z12" i="7" s="1"/>
  <c r="AA12" i="7" s="1"/>
  <c r="AB12" i="7" s="1"/>
  <c r="AC12" i="7" s="1"/>
  <c r="AD12" i="7" s="1"/>
  <c r="AE12" i="7" s="1"/>
  <c r="AF12" i="7" s="1"/>
  <c r="AG12" i="7" s="1"/>
  <c r="AH12" i="7" s="1"/>
  <c r="AI12" i="7" s="1"/>
  <c r="AJ12" i="7" s="1"/>
  <c r="AK12" i="7" s="1"/>
  <c r="AL12" i="7" s="1"/>
  <c r="AM12" i="7" s="1"/>
  <c r="AN12" i="7" s="1"/>
  <c r="AO12" i="7" s="1"/>
  <c r="AP12" i="7" s="1"/>
  <c r="AQ12" i="7" s="1"/>
  <c r="AR12" i="7" s="1"/>
  <c r="AS12" i="7" s="1"/>
  <c r="AT12" i="7" s="1"/>
  <c r="AU12" i="7" s="1"/>
  <c r="AV12" i="7" s="1"/>
  <c r="AW12" i="7" s="1"/>
  <c r="AX12" i="7" s="1"/>
  <c r="AY12" i="7" s="1"/>
  <c r="AZ12" i="7" s="1"/>
  <c r="BA12" i="7" s="1"/>
  <c r="BB12" i="7" s="1"/>
  <c r="BC12" i="7" s="1"/>
  <c r="BD12" i="7" s="1"/>
  <c r="BE12" i="7" s="1"/>
  <c r="BF12" i="7" s="1"/>
  <c r="BG12" i="7" s="1"/>
  <c r="BH12" i="7" s="1"/>
  <c r="BI12" i="7" s="1"/>
  <c r="BJ12" i="7" s="1"/>
  <c r="BK12" i="7" s="1"/>
  <c r="BL12" i="7" s="1"/>
  <c r="BM12" i="7" s="1"/>
  <c r="BN12" i="7" s="1"/>
  <c r="BO12" i="7" s="1"/>
  <c r="BP12" i="7" s="1"/>
  <c r="BQ12" i="7" s="1"/>
  <c r="BR12" i="7" s="1"/>
  <c r="BS12" i="7" s="1"/>
  <c r="BT12" i="7" s="1"/>
  <c r="BU12" i="7" s="1"/>
  <c r="AL30" i="2"/>
  <c r="AK94" i="2" s="1"/>
  <c r="BR94" i="2" s="1"/>
  <c r="B8" i="7"/>
  <c r="AH84" i="2"/>
  <c r="G60" i="10" s="1"/>
  <c r="AH72" i="2"/>
  <c r="G48" i="10" s="1"/>
  <c r="AH60" i="2"/>
  <c r="G36" i="10" s="1"/>
  <c r="AH48" i="2"/>
  <c r="G24" i="10" s="1"/>
  <c r="AZ37" i="2"/>
  <c r="AU91" i="2"/>
  <c r="BP91" i="2" s="1"/>
  <c r="AU92" i="2"/>
  <c r="BP92" i="2" s="1"/>
  <c r="AU93" i="2"/>
  <c r="BP93" i="2" s="1"/>
  <c r="AU94" i="2"/>
  <c r="BP94" i="2" s="1"/>
  <c r="AU95" i="2"/>
  <c r="BP95" i="2" s="1"/>
  <c r="AU88" i="2"/>
  <c r="BP88" i="2" s="1"/>
  <c r="AU84" i="2"/>
  <c r="BP84" i="2" s="1"/>
  <c r="AU86" i="2"/>
  <c r="BP86" i="2" s="1"/>
  <c r="AU87" i="2"/>
  <c r="BP87" i="2" s="1"/>
  <c r="AU90" i="2"/>
  <c r="BP90" i="2" s="1"/>
  <c r="AU74" i="2"/>
  <c r="BP74" i="2" s="1"/>
  <c r="AU85" i="2"/>
  <c r="BP85" i="2" s="1"/>
  <c r="AU82" i="2"/>
  <c r="BP82" i="2" s="1"/>
  <c r="AU76" i="2"/>
  <c r="BP76" i="2" s="1"/>
  <c r="AU89" i="2"/>
  <c r="BP89" i="2" s="1"/>
  <c r="AU81" i="2"/>
  <c r="BP81" i="2" s="1"/>
  <c r="AU83" i="2"/>
  <c r="BP83" i="2" s="1"/>
  <c r="AU80" i="2"/>
  <c r="BP80" i="2" s="1"/>
  <c r="AU78" i="2"/>
  <c r="BP78" i="2" s="1"/>
  <c r="AU75" i="2"/>
  <c r="BP75" i="2" s="1"/>
  <c r="AU71" i="2"/>
  <c r="BP71" i="2" s="1"/>
  <c r="AU79" i="2"/>
  <c r="BP79" i="2" s="1"/>
  <c r="AU67" i="2"/>
  <c r="BP67" i="2" s="1"/>
  <c r="AU70" i="2"/>
  <c r="BP70" i="2" s="1"/>
  <c r="AU73" i="2"/>
  <c r="BP73" i="2" s="1"/>
  <c r="AU62" i="2"/>
  <c r="BP62" i="2" s="1"/>
  <c r="AU63" i="2"/>
  <c r="BP63" i="2" s="1"/>
  <c r="AU55" i="2"/>
  <c r="BP55" i="2" s="1"/>
  <c r="AU72" i="2"/>
  <c r="BP72" i="2" s="1"/>
  <c r="AU68" i="2"/>
  <c r="BP68" i="2" s="1"/>
  <c r="AU64" i="2"/>
  <c r="BP64" i="2" s="1"/>
  <c r="AU56" i="2"/>
  <c r="BP56" i="2" s="1"/>
  <c r="AU66" i="2"/>
  <c r="BP66" i="2" s="1"/>
  <c r="AU57" i="2"/>
  <c r="BP57" i="2" s="1"/>
  <c r="AU58" i="2"/>
  <c r="BP58" i="2" s="1"/>
  <c r="AU77" i="2"/>
  <c r="BP77" i="2" s="1"/>
  <c r="AU65" i="2"/>
  <c r="BP65" i="2" s="1"/>
  <c r="AU59" i="2"/>
  <c r="BP59" i="2" s="1"/>
  <c r="AU61" i="2"/>
  <c r="BP61" i="2" s="1"/>
  <c r="AU51" i="2"/>
  <c r="BP51" i="2" s="1"/>
  <c r="AU52" i="2"/>
  <c r="BP52" i="2" s="1"/>
  <c r="AU53" i="2"/>
  <c r="BP53" i="2" s="1"/>
  <c r="AU54" i="2"/>
  <c r="BP54" i="2" s="1"/>
  <c r="AU46" i="2"/>
  <c r="BP46" i="2" s="1"/>
  <c r="AU69" i="2"/>
  <c r="BP69" i="2" s="1"/>
  <c r="AU60" i="2"/>
  <c r="BP60" i="2" s="1"/>
  <c r="AU48" i="2"/>
  <c r="BP48" i="2" s="1"/>
  <c r="AU41" i="2"/>
  <c r="BP41" i="2" s="1"/>
  <c r="AU42" i="2"/>
  <c r="BP42" i="2" s="1"/>
  <c r="AU43" i="2"/>
  <c r="BP43" i="2" s="1"/>
  <c r="AU50" i="2"/>
  <c r="BP50" i="2" s="1"/>
  <c r="AU44" i="2"/>
  <c r="BP44" i="2" s="1"/>
  <c r="AU49" i="2"/>
  <c r="BP49" i="2" s="1"/>
  <c r="AU47" i="2"/>
  <c r="BP47" i="2" s="1"/>
  <c r="AU39" i="2"/>
  <c r="BP39" i="2" s="1"/>
  <c r="AP37" i="2"/>
  <c r="AU45" i="2"/>
  <c r="BP45" i="2" s="1"/>
  <c r="AU36" i="2"/>
  <c r="BP36" i="2" s="1"/>
  <c r="L43" i="2"/>
  <c r="V43" i="2" s="1"/>
  <c r="AA43" i="2" s="1"/>
  <c r="AU40" i="2"/>
  <c r="BP40" i="2" s="1"/>
  <c r="AU38" i="2"/>
  <c r="BP38" i="2" s="1"/>
  <c r="L36" i="2"/>
  <c r="V36" i="2" s="1"/>
  <c r="AA36" i="2" s="1"/>
  <c r="AP36" i="2"/>
  <c r="AU37" i="2"/>
  <c r="BP37" i="2" s="1"/>
  <c r="L42" i="2"/>
  <c r="V42" i="2" s="1"/>
  <c r="AA42" i="2" s="1"/>
  <c r="AP42" i="2"/>
  <c r="L41" i="2"/>
  <c r="V41" i="2" s="1"/>
  <c r="AA41" i="2" s="1"/>
  <c r="AP41" i="2"/>
  <c r="AZ41" i="2"/>
  <c r="AZ45" i="2"/>
  <c r="AZ52" i="2"/>
  <c r="L40" i="2"/>
  <c r="V40" i="2" s="1"/>
  <c r="AA40" i="2" s="1"/>
  <c r="AP40" i="2"/>
  <c r="AZ40" i="2"/>
  <c r="AP45" i="2"/>
  <c r="L56" i="2"/>
  <c r="V56" i="2" s="1"/>
  <c r="AA56" i="2" s="1"/>
  <c r="AZ56" i="2"/>
  <c r="L39" i="2"/>
  <c r="V39" i="2" s="1"/>
  <c r="AA39" i="2" s="1"/>
  <c r="AP39" i="2"/>
  <c r="AZ39" i="2"/>
  <c r="AP48" i="2"/>
  <c r="AZ50" i="2"/>
  <c r="AP50" i="2"/>
  <c r="L38" i="2"/>
  <c r="V38" i="2" s="1"/>
  <c r="AA38" i="2" s="1"/>
  <c r="AP38" i="2"/>
  <c r="L52" i="2"/>
  <c r="V52" i="2" s="1"/>
  <c r="AA52" i="2" s="1"/>
  <c r="L44" i="2"/>
  <c r="V44" i="2" s="1"/>
  <c r="AA44" i="2" s="1"/>
  <c r="AP44" i="2"/>
  <c r="L48" i="2"/>
  <c r="V48" i="2" s="1"/>
  <c r="AP52" i="2"/>
  <c r="AP53" i="2"/>
  <c r="L51" i="2"/>
  <c r="V51" i="2" s="1"/>
  <c r="AA51" i="2" s="1"/>
  <c r="AP51" i="2"/>
  <c r="AZ51" i="2"/>
  <c r="L49" i="2"/>
  <c r="V49" i="2" s="1"/>
  <c r="AA49" i="2" s="1"/>
  <c r="AP49" i="2"/>
  <c r="L47" i="2"/>
  <c r="V47" i="2" s="1"/>
  <c r="AA47" i="2" s="1"/>
  <c r="AP47" i="2"/>
  <c r="AZ47" i="2"/>
  <c r="L46" i="2"/>
  <c r="V46" i="2" s="1"/>
  <c r="AA46" i="2" s="1"/>
  <c r="AP46" i="2"/>
  <c r="L54" i="2"/>
  <c r="V54" i="2" s="1"/>
  <c r="AA54" i="2" s="1"/>
  <c r="AP54" i="2"/>
  <c r="AZ54" i="2"/>
  <c r="AP55" i="2"/>
  <c r="AP63" i="2"/>
  <c r="L64" i="2"/>
  <c r="V64" i="2" s="1"/>
  <c r="AA64" i="2" s="1"/>
  <c r="AP64" i="2"/>
  <c r="AZ64" i="2"/>
  <c r="L62" i="2"/>
  <c r="V62" i="2" s="1"/>
  <c r="AA62" i="2" s="1"/>
  <c r="AP62" i="2"/>
  <c r="AZ62" i="2"/>
  <c r="AP68" i="2"/>
  <c r="AZ71" i="2"/>
  <c r="L61" i="2"/>
  <c r="V61" i="2" s="1"/>
  <c r="AA61" i="2" s="1"/>
  <c r="AP61" i="2"/>
  <c r="AZ67" i="2"/>
  <c r="AP72" i="2"/>
  <c r="L60" i="2"/>
  <c r="V60" i="2" s="1"/>
  <c r="AP60" i="2"/>
  <c r="AZ60" i="2"/>
  <c r="L71" i="2"/>
  <c r="V71" i="2" s="1"/>
  <c r="AA71" i="2" s="1"/>
  <c r="L59" i="2"/>
  <c r="V59" i="2" s="1"/>
  <c r="AA59" i="2" s="1"/>
  <c r="AP59" i="2"/>
  <c r="AZ59" i="2"/>
  <c r="AP78" i="2"/>
  <c r="L78" i="2"/>
  <c r="V78" i="2" s="1"/>
  <c r="AA78" i="2" s="1"/>
  <c r="AZ78" i="2"/>
  <c r="L58" i="2"/>
  <c r="V58" i="2" s="1"/>
  <c r="AA58" i="2" s="1"/>
  <c r="AP58" i="2"/>
  <c r="AZ58" i="2"/>
  <c r="L68" i="2"/>
  <c r="V68" i="2" s="1"/>
  <c r="AA68" i="2" s="1"/>
  <c r="L57" i="2"/>
  <c r="V57" i="2" s="1"/>
  <c r="AA57" i="2" s="1"/>
  <c r="AP57" i="2"/>
  <c r="L65" i="2"/>
  <c r="V65" i="2" s="1"/>
  <c r="AA65" i="2" s="1"/>
  <c r="AP67" i="2"/>
  <c r="AP71" i="2"/>
  <c r="L73" i="2"/>
  <c r="V73" i="2" s="1"/>
  <c r="AA73" i="2" s="1"/>
  <c r="L75" i="2"/>
  <c r="V75" i="2" s="1"/>
  <c r="AA75" i="2" s="1"/>
  <c r="AZ75" i="2"/>
  <c r="L70" i="2"/>
  <c r="V70" i="2" s="1"/>
  <c r="AA70" i="2" s="1"/>
  <c r="AP70" i="2"/>
  <c r="L83" i="2"/>
  <c r="V83" i="2" s="1"/>
  <c r="AA83" i="2" s="1"/>
  <c r="AP83" i="2"/>
  <c r="AZ83" i="2"/>
  <c r="L69" i="2"/>
  <c r="V69" i="2" s="1"/>
  <c r="AA69" i="2" s="1"/>
  <c r="AP69" i="2"/>
  <c r="AP75" i="2"/>
  <c r="AP73" i="2"/>
  <c r="L66" i="2"/>
  <c r="V66" i="2" s="1"/>
  <c r="AA66" i="2" s="1"/>
  <c r="AP66" i="2"/>
  <c r="L76" i="2"/>
  <c r="V76" i="2" s="1"/>
  <c r="AA76" i="2" s="1"/>
  <c r="AP76" i="2"/>
  <c r="AZ76" i="2"/>
  <c r="AZ85" i="2"/>
  <c r="AP85" i="2"/>
  <c r="L101" i="2"/>
  <c r="V101" i="2" s="1"/>
  <c r="AA101" i="2" s="1"/>
  <c r="AP101" i="2"/>
  <c r="AZ101" i="2"/>
  <c r="L80" i="2"/>
  <c r="V80" i="2" s="1"/>
  <c r="AA80" i="2" s="1"/>
  <c r="AZ84" i="2"/>
  <c r="L77" i="2"/>
  <c r="V77" i="2" s="1"/>
  <c r="AA77" i="2" s="1"/>
  <c r="AP77" i="2"/>
  <c r="L92" i="2"/>
  <c r="V92" i="2" s="1"/>
  <c r="AA92" i="2" s="1"/>
  <c r="AP92" i="2"/>
  <c r="AZ92" i="2"/>
  <c r="L82" i="2"/>
  <c r="V82" i="2" s="1"/>
  <c r="AA82" i="2" s="1"/>
  <c r="AP82" i="2"/>
  <c r="L88" i="2"/>
  <c r="V88" i="2" s="1"/>
  <c r="AA88" i="2" s="1"/>
  <c r="L81" i="2"/>
  <c r="V81" i="2" s="1"/>
  <c r="AA81" i="2" s="1"/>
  <c r="AP81" i="2"/>
  <c r="AP93" i="2"/>
  <c r="L100" i="2"/>
  <c r="V100" i="2" s="1"/>
  <c r="AA100" i="2" s="1"/>
  <c r="L79" i="2"/>
  <c r="V79" i="2" s="1"/>
  <c r="AA79" i="2" s="1"/>
  <c r="AP79" i="2"/>
  <c r="AZ87" i="2"/>
  <c r="AP87" i="2"/>
  <c r="L87" i="2"/>
  <c r="V87" i="2" s="1"/>
  <c r="AA87" i="2" s="1"/>
  <c r="AZ93" i="2"/>
  <c r="L86" i="2"/>
  <c r="V86" i="2" s="1"/>
  <c r="AA86" i="2" s="1"/>
  <c r="AP86" i="2"/>
  <c r="L91" i="2"/>
  <c r="V91" i="2" s="1"/>
  <c r="AA91" i="2" s="1"/>
  <c r="AP91" i="2"/>
  <c r="AZ91" i="2"/>
  <c r="L99" i="2"/>
  <c r="V99" i="2" s="1"/>
  <c r="AA99" i="2" s="1"/>
  <c r="AP99" i="2"/>
  <c r="AZ99" i="2"/>
  <c r="L107" i="2"/>
  <c r="V107" i="2" s="1"/>
  <c r="AA107" i="2" s="1"/>
  <c r="AP107" i="2"/>
  <c r="AZ107" i="2"/>
  <c r="L90" i="2"/>
  <c r="V90" i="2" s="1"/>
  <c r="AA90" i="2" s="1"/>
  <c r="AP90" i="2"/>
  <c r="AZ90" i="2"/>
  <c r="L98" i="2"/>
  <c r="V98" i="2" s="1"/>
  <c r="AA98" i="2" s="1"/>
  <c r="AP98" i="2"/>
  <c r="AZ98" i="2"/>
  <c r="L106" i="2"/>
  <c r="V106" i="2" s="1"/>
  <c r="AA106" i="2" s="1"/>
  <c r="AP106" i="2"/>
  <c r="AZ106" i="2"/>
  <c r="L89" i="2"/>
  <c r="V89" i="2" s="1"/>
  <c r="AA89" i="2" s="1"/>
  <c r="AP89" i="2"/>
  <c r="AZ89" i="2"/>
  <c r="L97" i="2"/>
  <c r="V97" i="2" s="1"/>
  <c r="AA97" i="2" s="1"/>
  <c r="AP97" i="2"/>
  <c r="L105" i="2"/>
  <c r="V105" i="2" s="1"/>
  <c r="AA105" i="2" s="1"/>
  <c r="AP105" i="2"/>
  <c r="AZ105" i="2"/>
  <c r="L96" i="2"/>
  <c r="V96" i="2" s="1"/>
  <c r="AP96" i="2"/>
  <c r="AZ96" i="2"/>
  <c r="L104" i="2"/>
  <c r="V104" i="2" s="1"/>
  <c r="AA104" i="2" s="1"/>
  <c r="AP104" i="2"/>
  <c r="L95" i="2"/>
  <c r="V95" i="2" s="1"/>
  <c r="AA95" i="2" s="1"/>
  <c r="AP95" i="2"/>
  <c r="AZ95" i="2"/>
  <c r="L103" i="2"/>
  <c r="V103" i="2" s="1"/>
  <c r="AA103" i="2" s="1"/>
  <c r="AP103" i="2"/>
  <c r="AZ103" i="2"/>
  <c r="L94" i="2"/>
  <c r="V94" i="2" s="1"/>
  <c r="AA94" i="2" s="1"/>
  <c r="AP94" i="2"/>
  <c r="L102" i="2"/>
  <c r="V102" i="2" s="1"/>
  <c r="AA102" i="2" s="1"/>
  <c r="AP102" i="2"/>
  <c r="AA93" i="2" l="1"/>
  <c r="BQ93" i="2" s="1"/>
  <c r="AA50" i="2"/>
  <c r="BQ50" i="2" s="1"/>
  <c r="X96" i="2"/>
  <c r="E72" i="10" s="1"/>
  <c r="AA96" i="2"/>
  <c r="BQ96" i="2" s="1"/>
  <c r="AA45" i="2"/>
  <c r="BQ45" i="2" s="1"/>
  <c r="AA67" i="2"/>
  <c r="BQ67" i="2" s="1"/>
  <c r="AA48" i="2"/>
  <c r="BQ48" i="2" s="1"/>
  <c r="X48" i="2"/>
  <c r="E24" i="10" s="1"/>
  <c r="X60" i="2"/>
  <c r="E36" i="10" s="1"/>
  <c r="AA60" i="2"/>
  <c r="BQ60" i="2" s="1"/>
  <c r="X84" i="2"/>
  <c r="E60" i="10" s="1"/>
  <c r="AA84" i="2"/>
  <c r="BQ84" i="2" s="1"/>
  <c r="AA37" i="2"/>
  <c r="BQ37" i="2" s="1"/>
  <c r="X72" i="2"/>
  <c r="E48" i="10" s="1"/>
  <c r="AA72" i="2"/>
  <c r="BQ72" i="2" s="1"/>
  <c r="AT36" i="2"/>
  <c r="AV36" i="2" s="1"/>
  <c r="AW36" i="2" s="1"/>
  <c r="AF67" i="2"/>
  <c r="AF37" i="2"/>
  <c r="AF93" i="2"/>
  <c r="AF45" i="2"/>
  <c r="AJ96" i="2"/>
  <c r="AL96" i="2" s="1"/>
  <c r="G72" i="10"/>
  <c r="AF44" i="2"/>
  <c r="BQ44" i="2"/>
  <c r="AF36" i="2"/>
  <c r="BQ36" i="2"/>
  <c r="AF46" i="2"/>
  <c r="BQ46" i="2"/>
  <c r="AF38" i="2"/>
  <c r="BQ38" i="2"/>
  <c r="AF39" i="2"/>
  <c r="BQ39" i="2"/>
  <c r="AF41" i="2"/>
  <c r="BQ41" i="2"/>
  <c r="AF47" i="2"/>
  <c r="BQ47" i="2"/>
  <c r="AF42" i="2"/>
  <c r="BQ42" i="2"/>
  <c r="AF43" i="2"/>
  <c r="BQ43" i="2"/>
  <c r="AF40" i="2"/>
  <c r="BQ40" i="2"/>
  <c r="BQ91" i="2"/>
  <c r="BQ79" i="2"/>
  <c r="BQ66" i="2"/>
  <c r="BQ62" i="2"/>
  <c r="BQ54" i="2"/>
  <c r="BQ52" i="2"/>
  <c r="BQ85" i="2"/>
  <c r="BQ55" i="2"/>
  <c r="BQ97" i="2"/>
  <c r="BQ95" i="2"/>
  <c r="BQ105" i="2"/>
  <c r="BQ106" i="2"/>
  <c r="BQ100" i="2"/>
  <c r="BQ101" i="2"/>
  <c r="BQ70" i="2"/>
  <c r="BQ57" i="2"/>
  <c r="BQ74" i="2"/>
  <c r="BQ104" i="2"/>
  <c r="BQ102" i="2"/>
  <c r="BQ107" i="2"/>
  <c r="BQ86" i="2"/>
  <c r="BQ92" i="2"/>
  <c r="BQ68" i="2"/>
  <c r="BQ51" i="2"/>
  <c r="BQ56" i="2"/>
  <c r="BQ75" i="2"/>
  <c r="BQ59" i="2"/>
  <c r="BQ61" i="2"/>
  <c r="BQ64" i="2"/>
  <c r="BQ98" i="2"/>
  <c r="BQ87" i="2"/>
  <c r="BQ81" i="2"/>
  <c r="BQ77" i="2"/>
  <c r="BQ69" i="2"/>
  <c r="BQ73" i="2"/>
  <c r="BQ71" i="2"/>
  <c r="BQ94" i="2"/>
  <c r="BQ99" i="2"/>
  <c r="BQ88" i="2"/>
  <c r="BQ58" i="2"/>
  <c r="BQ103" i="2"/>
  <c r="BQ89" i="2"/>
  <c r="BQ80" i="2"/>
  <c r="BQ76" i="2"/>
  <c r="BQ63" i="2"/>
  <c r="BQ90" i="2"/>
  <c r="BQ82" i="2"/>
  <c r="BQ83" i="2"/>
  <c r="BQ65" i="2"/>
  <c r="BQ78" i="2"/>
  <c r="BQ49" i="2"/>
  <c r="BQ53" i="2"/>
  <c r="BB35" i="2"/>
  <c r="AK43" i="2"/>
  <c r="BR43" i="2" s="1"/>
  <c r="AK53" i="2"/>
  <c r="BR53" i="2" s="1"/>
  <c r="AK58" i="2"/>
  <c r="BR58" i="2" s="1"/>
  <c r="AK62" i="2"/>
  <c r="BR62" i="2" s="1"/>
  <c r="AK82" i="2"/>
  <c r="BR82" i="2" s="1"/>
  <c r="AK74" i="2"/>
  <c r="BR74" i="2" s="1"/>
  <c r="AK93" i="2"/>
  <c r="BR93" i="2" s="1"/>
  <c r="AK39" i="2"/>
  <c r="BR39" i="2" s="1"/>
  <c r="AK41" i="2"/>
  <c r="BR41" i="2" s="1"/>
  <c r="AK51" i="2"/>
  <c r="BR51" i="2" s="1"/>
  <c r="AK64" i="2"/>
  <c r="BR64" i="2" s="1"/>
  <c r="AK73" i="2"/>
  <c r="BR73" i="2" s="1"/>
  <c r="AK80" i="2"/>
  <c r="BR80" i="2" s="1"/>
  <c r="AK89" i="2"/>
  <c r="BR89" i="2" s="1"/>
  <c r="AK38" i="2"/>
  <c r="BR38" i="2" s="1"/>
  <c r="AK45" i="2"/>
  <c r="BR45" i="2" s="1"/>
  <c r="AK49" i="2"/>
  <c r="BR49" i="2" s="1"/>
  <c r="AK56" i="2"/>
  <c r="BR56" i="2" s="1"/>
  <c r="AK69" i="2"/>
  <c r="BR69" i="2" s="1"/>
  <c r="AK75" i="2"/>
  <c r="BR75" i="2" s="1"/>
  <c r="AK83" i="2"/>
  <c r="BR83" i="2" s="1"/>
  <c r="AK90" i="2"/>
  <c r="BR90" i="2" s="1"/>
  <c r="AK36" i="2"/>
  <c r="AK60" i="2"/>
  <c r="BR60" i="2" s="1"/>
  <c r="AK54" i="2"/>
  <c r="BR54" i="2" s="1"/>
  <c r="AK72" i="2"/>
  <c r="BR72" i="2" s="1"/>
  <c r="AK66" i="2"/>
  <c r="BR66" i="2" s="1"/>
  <c r="AK85" i="2"/>
  <c r="BR85" i="2" s="1"/>
  <c r="AK81" i="2"/>
  <c r="BR81" i="2" s="1"/>
  <c r="AK96" i="2"/>
  <c r="BR96" i="2" s="1"/>
  <c r="AK107" i="2"/>
  <c r="BR107" i="2" s="1"/>
  <c r="AK106" i="2"/>
  <c r="BR106" i="2" s="1"/>
  <c r="AK105" i="2"/>
  <c r="BR105" i="2" s="1"/>
  <c r="AK104" i="2"/>
  <c r="BR104" i="2" s="1"/>
  <c r="AK103" i="2"/>
  <c r="BR103" i="2" s="1"/>
  <c r="AK102" i="2"/>
  <c r="BR102" i="2" s="1"/>
  <c r="AK101" i="2"/>
  <c r="BR101" i="2" s="1"/>
  <c r="AK100" i="2"/>
  <c r="BR100" i="2" s="1"/>
  <c r="AK99" i="2"/>
  <c r="BR99" i="2" s="1"/>
  <c r="AK98" i="2"/>
  <c r="BR98" i="2" s="1"/>
  <c r="AK97" i="2"/>
  <c r="BR97" i="2" s="1"/>
  <c r="AK50" i="2"/>
  <c r="BR50" i="2" s="1"/>
  <c r="AK42" i="2"/>
  <c r="BR42" i="2" s="1"/>
  <c r="AK48" i="2"/>
  <c r="BR48" i="2" s="1"/>
  <c r="AK68" i="2"/>
  <c r="BR68" i="2" s="1"/>
  <c r="AK61" i="2"/>
  <c r="BR61" i="2" s="1"/>
  <c r="AK65" i="2"/>
  <c r="BR65" i="2" s="1"/>
  <c r="AK55" i="2"/>
  <c r="BR55" i="2" s="1"/>
  <c r="AK70" i="2"/>
  <c r="BR70" i="2" s="1"/>
  <c r="AK77" i="2"/>
  <c r="BR77" i="2" s="1"/>
  <c r="AK71" i="2"/>
  <c r="BR71" i="2" s="1"/>
  <c r="AK87" i="2"/>
  <c r="BR87" i="2" s="1"/>
  <c r="AK86" i="2"/>
  <c r="BR86" i="2" s="1"/>
  <c r="AK88" i="2"/>
  <c r="BR88" i="2" s="1"/>
  <c r="AK92" i="2"/>
  <c r="BR92" i="2" s="1"/>
  <c r="C18" i="9"/>
  <c r="Q107" i="2"/>
  <c r="BN107" i="2" s="1"/>
  <c r="Q106" i="2"/>
  <c r="BN106" i="2" s="1"/>
  <c r="Q105" i="2"/>
  <c r="BN105" i="2" s="1"/>
  <c r="Q104" i="2"/>
  <c r="BN104" i="2" s="1"/>
  <c r="Q103" i="2"/>
  <c r="BN103" i="2" s="1"/>
  <c r="Q102" i="2"/>
  <c r="BN102" i="2" s="1"/>
  <c r="Q101" i="2"/>
  <c r="BN101" i="2" s="1"/>
  <c r="Q100" i="2"/>
  <c r="BN100" i="2" s="1"/>
  <c r="Q99" i="2"/>
  <c r="BN99" i="2" s="1"/>
  <c r="Q98" i="2"/>
  <c r="BN98" i="2" s="1"/>
  <c r="Q97" i="2"/>
  <c r="BN97" i="2" s="1"/>
  <c r="Q96" i="2"/>
  <c r="BN96" i="2" s="1"/>
  <c r="AK37" i="2"/>
  <c r="BR37" i="2" s="1"/>
  <c r="AK40" i="2"/>
  <c r="BR40" i="2" s="1"/>
  <c r="AK44" i="2"/>
  <c r="BR44" i="2" s="1"/>
  <c r="AK47" i="2"/>
  <c r="BR47" i="2" s="1"/>
  <c r="AK46" i="2"/>
  <c r="BR46" i="2" s="1"/>
  <c r="AK52" i="2"/>
  <c r="BR52" i="2" s="1"/>
  <c r="AK59" i="2"/>
  <c r="BR59" i="2" s="1"/>
  <c r="AK57" i="2"/>
  <c r="BR57" i="2" s="1"/>
  <c r="AK63" i="2"/>
  <c r="BR63" i="2" s="1"/>
  <c r="AK67" i="2"/>
  <c r="BR67" i="2" s="1"/>
  <c r="AK79" i="2"/>
  <c r="BR79" i="2" s="1"/>
  <c r="AK78" i="2"/>
  <c r="BR78" i="2" s="1"/>
  <c r="AK76" i="2"/>
  <c r="BR76" i="2" s="1"/>
  <c r="AK84" i="2"/>
  <c r="BR84" i="2" s="1"/>
  <c r="AK95" i="2"/>
  <c r="BR95" i="2" s="1"/>
  <c r="AK91" i="2"/>
  <c r="BR91" i="2" s="1"/>
  <c r="AF61" i="2"/>
  <c r="AF98" i="2"/>
  <c r="AF99" i="2"/>
  <c r="AF88" i="2"/>
  <c r="AF58" i="2"/>
  <c r="AF48" i="2"/>
  <c r="AF74" i="2"/>
  <c r="AF55" i="2"/>
  <c r="AF103" i="2"/>
  <c r="AF96" i="2"/>
  <c r="AF89" i="2"/>
  <c r="AF80" i="2"/>
  <c r="AF76" i="2"/>
  <c r="AF84" i="2"/>
  <c r="AF94" i="2"/>
  <c r="AF64" i="2"/>
  <c r="AF78" i="2"/>
  <c r="AF63" i="2"/>
  <c r="AF90" i="2"/>
  <c r="AF65" i="2"/>
  <c r="AF104" i="2"/>
  <c r="AF79" i="2"/>
  <c r="AF66" i="2"/>
  <c r="AF62" i="2"/>
  <c r="AF52" i="2"/>
  <c r="AF106" i="2"/>
  <c r="AF57" i="2"/>
  <c r="AF59" i="2"/>
  <c r="AF82" i="2"/>
  <c r="AF83" i="2"/>
  <c r="AF60" i="2"/>
  <c r="AF49" i="2"/>
  <c r="AF72" i="2"/>
  <c r="AF91" i="2"/>
  <c r="AF54" i="2"/>
  <c r="AF102" i="2"/>
  <c r="AF95" i="2"/>
  <c r="AF105" i="2"/>
  <c r="AF100" i="2"/>
  <c r="AF101" i="2"/>
  <c r="AF70" i="2"/>
  <c r="AF107" i="2"/>
  <c r="AF86" i="2"/>
  <c r="AF92" i="2"/>
  <c r="AF68" i="2"/>
  <c r="AF51" i="2"/>
  <c r="AF56" i="2"/>
  <c r="AF97" i="2"/>
  <c r="AF75" i="2"/>
  <c r="AF87" i="2"/>
  <c r="AF81" i="2"/>
  <c r="AF77" i="2"/>
  <c r="AF69" i="2"/>
  <c r="AF73" i="2"/>
  <c r="AF71" i="2"/>
  <c r="AF85" i="2"/>
  <c r="AF53" i="2"/>
  <c r="B13" i="7"/>
  <c r="C13" i="7" s="1"/>
  <c r="D13" i="7" s="1"/>
  <c r="E13" i="7" s="1"/>
  <c r="F13" i="7" s="1"/>
  <c r="G13" i="7" s="1"/>
  <c r="H13" i="7" s="1"/>
  <c r="I13" i="7" s="1"/>
  <c r="J13" i="7" s="1"/>
  <c r="K13" i="7" s="1"/>
  <c r="L13" i="7" s="1"/>
  <c r="M13" i="7" s="1"/>
  <c r="N13" i="7" s="1"/>
  <c r="O13" i="7" s="1"/>
  <c r="P13" i="7" s="1"/>
  <c r="Q13" i="7" s="1"/>
  <c r="R13" i="7" s="1"/>
  <c r="S13" i="7" s="1"/>
  <c r="T13" i="7" s="1"/>
  <c r="U13" i="7" s="1"/>
  <c r="V13" i="7" s="1"/>
  <c r="W13" i="7" s="1"/>
  <c r="X13" i="7" s="1"/>
  <c r="Y13" i="7" s="1"/>
  <c r="Z13" i="7" s="1"/>
  <c r="AA13" i="7" s="1"/>
  <c r="AB13" i="7" s="1"/>
  <c r="AC13" i="7" s="1"/>
  <c r="AD13" i="7" s="1"/>
  <c r="AE13" i="7" s="1"/>
  <c r="AF13" i="7" s="1"/>
  <c r="AG13" i="7" s="1"/>
  <c r="AH13" i="7" s="1"/>
  <c r="AI13" i="7" s="1"/>
  <c r="AJ13" i="7" s="1"/>
  <c r="AK13" i="7" s="1"/>
  <c r="AL13" i="7" s="1"/>
  <c r="AM13" i="7" s="1"/>
  <c r="AN13" i="7" s="1"/>
  <c r="AO13" i="7" s="1"/>
  <c r="AP13" i="7" s="1"/>
  <c r="AQ13" i="7" s="1"/>
  <c r="AR13" i="7" s="1"/>
  <c r="AS13" i="7" s="1"/>
  <c r="AT13" i="7" s="1"/>
  <c r="AU13" i="7" s="1"/>
  <c r="AV13" i="7" s="1"/>
  <c r="AW13" i="7" s="1"/>
  <c r="AX13" i="7" s="1"/>
  <c r="AY13" i="7" s="1"/>
  <c r="AZ13" i="7" s="1"/>
  <c r="BA13" i="7" s="1"/>
  <c r="BB13" i="7" s="1"/>
  <c r="BC13" i="7" s="1"/>
  <c r="BD13" i="7" s="1"/>
  <c r="BE13" i="7" s="1"/>
  <c r="BF13" i="7" s="1"/>
  <c r="BG13" i="7" s="1"/>
  <c r="BH13" i="7" s="1"/>
  <c r="BI13" i="7" s="1"/>
  <c r="BJ13" i="7" s="1"/>
  <c r="BK13" i="7" s="1"/>
  <c r="BL13" i="7" s="1"/>
  <c r="BM13" i="7" s="1"/>
  <c r="BN13" i="7" s="1"/>
  <c r="BO13" i="7" s="1"/>
  <c r="BP13" i="7" s="1"/>
  <c r="BQ13" i="7" s="1"/>
  <c r="BR13" i="7" s="1"/>
  <c r="BS13" i="7" s="1"/>
  <c r="BT13" i="7" s="1"/>
  <c r="BU13" i="7" s="1"/>
  <c r="Q91" i="2"/>
  <c r="BN91" i="2" s="1"/>
  <c r="Q92" i="2"/>
  <c r="BN92" i="2" s="1"/>
  <c r="Q93" i="2"/>
  <c r="BN93" i="2" s="1"/>
  <c r="Q94" i="2"/>
  <c r="BN94" i="2" s="1"/>
  <c r="Q95" i="2"/>
  <c r="BN95" i="2" s="1"/>
  <c r="Q88" i="2"/>
  <c r="BN88" i="2" s="1"/>
  <c r="Q84" i="2"/>
  <c r="BN84" i="2" s="1"/>
  <c r="Q86" i="2"/>
  <c r="BN86" i="2" s="1"/>
  <c r="Q85" i="2"/>
  <c r="BN85" i="2" s="1"/>
  <c r="Q82" i="2"/>
  <c r="BN82" i="2" s="1"/>
  <c r="Q89" i="2"/>
  <c r="BN89" i="2" s="1"/>
  <c r="Q76" i="2"/>
  <c r="BN76" i="2" s="1"/>
  <c r="Q87" i="2"/>
  <c r="BN87" i="2" s="1"/>
  <c r="Q81" i="2"/>
  <c r="BN81" i="2" s="1"/>
  <c r="Q78" i="2"/>
  <c r="BN78" i="2" s="1"/>
  <c r="Q79" i="2"/>
  <c r="BN79" i="2" s="1"/>
  <c r="Q71" i="2"/>
  <c r="BN71" i="2" s="1"/>
  <c r="Q80" i="2"/>
  <c r="BN80" i="2" s="1"/>
  <c r="Q77" i="2"/>
  <c r="BN77" i="2" s="1"/>
  <c r="Q73" i="2"/>
  <c r="BN73" i="2" s="1"/>
  <c r="Q83" i="2"/>
  <c r="BN83" i="2" s="1"/>
  <c r="Q75" i="2"/>
  <c r="BN75" i="2" s="1"/>
  <c r="Q90" i="2"/>
  <c r="BN90" i="2" s="1"/>
  <c r="Q70" i="2"/>
  <c r="BN70" i="2" s="1"/>
  <c r="Q62" i="2"/>
  <c r="BN62" i="2" s="1"/>
  <c r="Q63" i="2"/>
  <c r="BN63" i="2" s="1"/>
  <c r="Q69" i="2"/>
  <c r="BN69" i="2" s="1"/>
  <c r="Q64" i="2"/>
  <c r="BN64" i="2" s="1"/>
  <c r="Q72" i="2"/>
  <c r="BN72" i="2" s="1"/>
  <c r="Q65" i="2"/>
  <c r="BN65" i="2" s="1"/>
  <c r="Q67" i="2"/>
  <c r="BN67" i="2" s="1"/>
  <c r="Q58" i="2"/>
  <c r="BN58" i="2" s="1"/>
  <c r="Q66" i="2"/>
  <c r="BN66" i="2" s="1"/>
  <c r="Q59" i="2"/>
  <c r="BN59" i="2" s="1"/>
  <c r="Q74" i="2"/>
  <c r="BN74" i="2" s="1"/>
  <c r="Q51" i="2"/>
  <c r="BN51" i="2" s="1"/>
  <c r="Q52" i="2"/>
  <c r="BN52" i="2" s="1"/>
  <c r="Q53" i="2"/>
  <c r="BN53" i="2" s="1"/>
  <c r="Q60" i="2"/>
  <c r="BN60" i="2" s="1"/>
  <c r="Q54" i="2"/>
  <c r="BN54" i="2" s="1"/>
  <c r="Q68" i="2"/>
  <c r="BN68" i="2" s="1"/>
  <c r="Q56" i="2"/>
  <c r="BN56" i="2" s="1"/>
  <c r="Q61" i="2"/>
  <c r="BN61" i="2" s="1"/>
  <c r="Q48" i="2"/>
  <c r="BN48" i="2" s="1"/>
  <c r="Q57" i="2"/>
  <c r="BN57" i="2" s="1"/>
  <c r="Q49" i="2"/>
  <c r="BN49" i="2" s="1"/>
  <c r="Q50" i="2"/>
  <c r="BN50" i="2" s="1"/>
  <c r="Q55" i="2"/>
  <c r="BN55" i="2" s="1"/>
  <c r="AJ72" i="2"/>
  <c r="AL72" i="2" s="1"/>
  <c r="AJ84" i="2"/>
  <c r="AL84" i="2" s="1"/>
  <c r="AJ60" i="2"/>
  <c r="AL60" i="2" s="1"/>
  <c r="D14" i="7"/>
  <c r="AJ48" i="2"/>
  <c r="AL48" i="2" s="1"/>
  <c r="AS36" i="2" l="1"/>
  <c r="AR37" i="2" s="1"/>
  <c r="F13" i="10" s="1"/>
  <c r="AM36" i="2"/>
  <c r="BR36" i="2"/>
  <c r="C28" i="4"/>
  <c r="C39" i="4" s="1"/>
  <c r="BB30" i="2"/>
  <c r="BA30" i="2"/>
  <c r="BC30" i="2"/>
  <c r="BE30" i="2"/>
  <c r="BF30" i="2"/>
  <c r="BB36" i="2"/>
  <c r="BD36" i="2" s="1"/>
  <c r="BF36" i="2" s="1"/>
  <c r="AM72" i="2"/>
  <c r="AI36" i="2"/>
  <c r="AH37" i="2" s="1"/>
  <c r="AM48" i="2"/>
  <c r="AM84" i="2"/>
  <c r="AM60" i="2"/>
  <c r="C21" i="9"/>
  <c r="C22" i="9"/>
  <c r="AI96" i="2"/>
  <c r="AH97" i="2" s="1"/>
  <c r="AM96" i="2"/>
  <c r="Y36" i="2"/>
  <c r="X37" i="2" s="1"/>
  <c r="E13" i="10" s="1"/>
  <c r="AC36" i="2"/>
  <c r="AI84" i="2"/>
  <c r="AH85" i="2" s="1"/>
  <c r="AI72" i="2"/>
  <c r="AH73" i="2" s="1"/>
  <c r="A17" i="7"/>
  <c r="C35" i="2" s="1"/>
  <c r="C17" i="7"/>
  <c r="B21" i="7" s="1"/>
  <c r="C37" i="2" s="1"/>
  <c r="C13" i="10" s="1"/>
  <c r="B17" i="7"/>
  <c r="B20" i="7" s="1"/>
  <c r="C36" i="2" s="1"/>
  <c r="C12" i="10" s="1"/>
  <c r="AI60" i="2"/>
  <c r="AH61" i="2" s="1"/>
  <c r="G37" i="10" s="1"/>
  <c r="AT37" i="2"/>
  <c r="AI48" i="2"/>
  <c r="AH49" i="2" s="1"/>
  <c r="G25" i="10" s="1"/>
  <c r="D17" i="7"/>
  <c r="B22" i="7" s="1"/>
  <c r="C38" i="2" s="1"/>
  <c r="C14" i="10" s="1"/>
  <c r="E14" i="7"/>
  <c r="AJ97" i="2" l="1"/>
  <c r="AL97" i="2" s="1"/>
  <c r="AM97" i="2" s="1"/>
  <c r="G73" i="10"/>
  <c r="AJ73" i="2"/>
  <c r="G49" i="10"/>
  <c r="AJ37" i="2"/>
  <c r="AL37" i="2" s="1"/>
  <c r="AM37" i="2" s="1"/>
  <c r="G13" i="10"/>
  <c r="AJ85" i="2"/>
  <c r="AI85" i="2" s="1"/>
  <c r="AH86" i="2" s="1"/>
  <c r="G62" i="10" s="1"/>
  <c r="G61" i="10"/>
  <c r="C11" i="10"/>
  <c r="C59" i="4"/>
  <c r="BE104" i="2"/>
  <c r="BO104" i="2" s="1"/>
  <c r="BE93" i="2"/>
  <c r="BO93" i="2" s="1"/>
  <c r="BE94" i="2"/>
  <c r="BO94" i="2" s="1"/>
  <c r="BE107" i="2"/>
  <c r="BO107" i="2" s="1"/>
  <c r="BE102" i="2"/>
  <c r="BO102" i="2" s="1"/>
  <c r="BE90" i="2"/>
  <c r="BO90" i="2" s="1"/>
  <c r="BE87" i="2"/>
  <c r="BO87" i="2" s="1"/>
  <c r="BE84" i="2"/>
  <c r="BO84" i="2" s="1"/>
  <c r="BI84" i="2" s="1"/>
  <c r="BE95" i="2"/>
  <c r="BO95" i="2" s="1"/>
  <c r="BE105" i="2"/>
  <c r="BO105" i="2" s="1"/>
  <c r="BE100" i="2"/>
  <c r="BO100" i="2" s="1"/>
  <c r="BE103" i="2"/>
  <c r="BO103" i="2" s="1"/>
  <c r="BE98" i="2"/>
  <c r="BO98" i="2" s="1"/>
  <c r="BE92" i="2"/>
  <c r="BO92" i="2" s="1"/>
  <c r="BE101" i="2"/>
  <c r="BO101" i="2" s="1"/>
  <c r="BE96" i="2"/>
  <c r="BO96" i="2" s="1"/>
  <c r="BI96" i="2" s="1"/>
  <c r="BE86" i="2"/>
  <c r="BO86" i="2" s="1"/>
  <c r="BE88" i="2"/>
  <c r="BO88" i="2" s="1"/>
  <c r="BE99" i="2"/>
  <c r="BO99" i="2" s="1"/>
  <c r="BE91" i="2"/>
  <c r="BO91" i="2" s="1"/>
  <c r="BE85" i="2"/>
  <c r="BO85" i="2" s="1"/>
  <c r="BE97" i="2"/>
  <c r="BO97" i="2" s="1"/>
  <c r="BE89" i="2"/>
  <c r="BO89" i="2" s="1"/>
  <c r="BE106" i="2"/>
  <c r="BO106" i="2" s="1"/>
  <c r="BD30" i="2"/>
  <c r="C23" i="9"/>
  <c r="C26" i="9" s="1"/>
  <c r="C27" i="9" s="1"/>
  <c r="C28" i="9" s="1"/>
  <c r="M37" i="2"/>
  <c r="W37" i="2" s="1"/>
  <c r="AG37" i="2" s="1"/>
  <c r="AQ36" i="2"/>
  <c r="BA35" i="2"/>
  <c r="BG35" i="2" s="1"/>
  <c r="BA36" i="2"/>
  <c r="AQ37" i="2"/>
  <c r="M36" i="2"/>
  <c r="W36" i="2" s="1"/>
  <c r="AG36" i="2" s="1"/>
  <c r="BA37" i="2"/>
  <c r="AV37" i="2"/>
  <c r="AW37" i="2" s="1"/>
  <c r="AS37" i="2"/>
  <c r="AR38" i="2" s="1"/>
  <c r="F14" i="10" s="1"/>
  <c r="BA38" i="2"/>
  <c r="M38" i="2"/>
  <c r="W38" i="2" s="1"/>
  <c r="AG38" i="2" s="1"/>
  <c r="AQ38" i="2"/>
  <c r="AL73" i="2"/>
  <c r="AM73" i="2" s="1"/>
  <c r="AI73" i="2"/>
  <c r="AH74" i="2" s="1"/>
  <c r="G50" i="10" s="1"/>
  <c r="AJ49" i="2"/>
  <c r="AJ61" i="2"/>
  <c r="E17" i="7"/>
  <c r="B23" i="7" s="1"/>
  <c r="C39" i="2" s="1"/>
  <c r="C15" i="10" s="1"/>
  <c r="F14" i="7"/>
  <c r="AI97" i="2" l="1"/>
  <c r="AH98" i="2" s="1"/>
  <c r="G74" i="10" s="1"/>
  <c r="AI37" i="2"/>
  <c r="AH38" i="2" s="1"/>
  <c r="G14" i="10" s="1"/>
  <c r="AL85" i="2"/>
  <c r="AM85" i="2" s="1"/>
  <c r="BE74" i="2"/>
  <c r="BO74" i="2" s="1"/>
  <c r="BE72" i="2"/>
  <c r="BO72" i="2" s="1"/>
  <c r="BI72" i="2" s="1"/>
  <c r="BE81" i="2"/>
  <c r="BO81" i="2" s="1"/>
  <c r="BE80" i="2"/>
  <c r="BO80" i="2" s="1"/>
  <c r="BE69" i="2"/>
  <c r="BO69" i="2" s="1"/>
  <c r="BE52" i="2"/>
  <c r="BO52" i="2" s="1"/>
  <c r="BE77" i="2"/>
  <c r="BO77" i="2" s="1"/>
  <c r="BE82" i="2"/>
  <c r="BO82" i="2" s="1"/>
  <c r="BE65" i="2"/>
  <c r="BO65" i="2" s="1"/>
  <c r="BE66" i="2"/>
  <c r="BO66" i="2" s="1"/>
  <c r="BE45" i="2"/>
  <c r="BE67" i="2"/>
  <c r="BO67" i="2" s="1"/>
  <c r="BE41" i="2"/>
  <c r="BE38" i="2"/>
  <c r="BE40" i="2"/>
  <c r="BE56" i="2"/>
  <c r="BO56" i="2" s="1"/>
  <c r="BE43" i="2"/>
  <c r="BE64" i="2"/>
  <c r="BO64" i="2" s="1"/>
  <c r="BE61" i="2"/>
  <c r="BO61" i="2" s="1"/>
  <c r="BE51" i="2"/>
  <c r="BE60" i="2"/>
  <c r="BO60" i="2" s="1"/>
  <c r="BI60" i="2" s="1"/>
  <c r="BE83" i="2"/>
  <c r="BO83" i="2" s="1"/>
  <c r="BE73" i="2"/>
  <c r="BO73" i="2" s="1"/>
  <c r="BE59" i="2"/>
  <c r="BO59" i="2" s="1"/>
  <c r="BE71" i="2"/>
  <c r="BO71" i="2" s="1"/>
  <c r="BE62" i="2"/>
  <c r="BO62" i="2" s="1"/>
  <c r="BE42" i="2"/>
  <c r="BE46" i="2"/>
  <c r="BE70" i="2"/>
  <c r="BO70" i="2" s="1"/>
  <c r="BE57" i="2"/>
  <c r="BO57" i="2" s="1"/>
  <c r="BE68" i="2"/>
  <c r="BO68" i="2" s="1"/>
  <c r="BE78" i="2"/>
  <c r="BO78" i="2" s="1"/>
  <c r="BE37" i="2"/>
  <c r="BE54" i="2"/>
  <c r="BE53" i="2"/>
  <c r="BO53" i="2" s="1"/>
  <c r="BI53" i="2" s="1"/>
  <c r="BE63" i="2"/>
  <c r="BO63" i="2" s="1"/>
  <c r="BE36" i="2"/>
  <c r="BE47" i="2"/>
  <c r="BO47" i="2" s="1"/>
  <c r="BE44" i="2"/>
  <c r="BO44" i="2" s="1"/>
  <c r="BE50" i="2"/>
  <c r="BE58" i="2"/>
  <c r="BO58" i="2" s="1"/>
  <c r="BE48" i="2"/>
  <c r="BO48" i="2" s="1"/>
  <c r="BI48" i="2" s="1"/>
  <c r="BE75" i="2"/>
  <c r="BO75" i="2" s="1"/>
  <c r="BE39" i="2"/>
  <c r="BE55" i="2"/>
  <c r="BE49" i="2"/>
  <c r="BE76" i="2"/>
  <c r="BO76" i="2" s="1"/>
  <c r="BE79" i="2"/>
  <c r="BO79" i="2" s="1"/>
  <c r="G91" i="2"/>
  <c r="G107" i="2"/>
  <c r="G93" i="2"/>
  <c r="BI107" i="2"/>
  <c r="G106" i="2"/>
  <c r="G97" i="2"/>
  <c r="G99" i="2"/>
  <c r="G86" i="2"/>
  <c r="G92" i="2"/>
  <c r="G94" i="2"/>
  <c r="G96" i="2"/>
  <c r="G104" i="2"/>
  <c r="BI105" i="2"/>
  <c r="BI102" i="2"/>
  <c r="G101" i="2"/>
  <c r="G98" i="2"/>
  <c r="BI104" i="2"/>
  <c r="G103" i="2"/>
  <c r="G100" i="2"/>
  <c r="G84" i="2"/>
  <c r="BI106" i="2"/>
  <c r="G105" i="2"/>
  <c r="G87" i="2"/>
  <c r="G95" i="2"/>
  <c r="G90" i="2"/>
  <c r="G89" i="2"/>
  <c r="G85" i="2"/>
  <c r="G88" i="2"/>
  <c r="G102" i="2"/>
  <c r="BI103" i="2"/>
  <c r="Z37" i="2"/>
  <c r="AJ98" i="2"/>
  <c r="G14" i="7"/>
  <c r="F17" i="7"/>
  <c r="B24" i="7" s="1"/>
  <c r="C40" i="2" s="1"/>
  <c r="C16" i="10" s="1"/>
  <c r="AL49" i="2"/>
  <c r="AM49" i="2" s="1"/>
  <c r="AI49" i="2"/>
  <c r="AH50" i="2" s="1"/>
  <c r="G26" i="10" s="1"/>
  <c r="AT38" i="2"/>
  <c r="BA39" i="2"/>
  <c r="AQ39" i="2"/>
  <c r="M39" i="2"/>
  <c r="W39" i="2" s="1"/>
  <c r="AG39" i="2" s="1"/>
  <c r="AJ86" i="2"/>
  <c r="AJ74" i="2"/>
  <c r="AL61" i="2"/>
  <c r="AM61" i="2" s="1"/>
  <c r="AI61" i="2"/>
  <c r="AH62" i="2" s="1"/>
  <c r="G38" i="10" s="1"/>
  <c r="AJ38" i="2"/>
  <c r="G52" i="2" l="1"/>
  <c r="BO41" i="2"/>
  <c r="BO39" i="2"/>
  <c r="BO46" i="2"/>
  <c r="BI52" i="2"/>
  <c r="BO51" i="2"/>
  <c r="BI51" i="2" s="1"/>
  <c r="BO42" i="2"/>
  <c r="BO45" i="2"/>
  <c r="BO54" i="2"/>
  <c r="BI54" i="2" s="1"/>
  <c r="BO37" i="2"/>
  <c r="BO43" i="2"/>
  <c r="BO50" i="2"/>
  <c r="BI50" i="2" s="1"/>
  <c r="BI56" i="2"/>
  <c r="BO55" i="2"/>
  <c r="BI55" i="2" s="1"/>
  <c r="BO40" i="2"/>
  <c r="BG36" i="2"/>
  <c r="BO36" i="2"/>
  <c r="BO49" i="2"/>
  <c r="BI49" i="2" s="1"/>
  <c r="BO38" i="2"/>
  <c r="BI57" i="2"/>
  <c r="G53" i="2"/>
  <c r="G48" i="2"/>
  <c r="G55" i="2"/>
  <c r="G49" i="2"/>
  <c r="BC36" i="2"/>
  <c r="BB37" i="2" s="1"/>
  <c r="G50" i="2"/>
  <c r="G54" i="2"/>
  <c r="G51" i="2"/>
  <c r="G56" i="2"/>
  <c r="G57" i="2"/>
  <c r="BI58" i="2"/>
  <c r="AB37" i="2"/>
  <c r="AC37" i="2" s="1"/>
  <c r="Y37" i="2"/>
  <c r="X38" i="2" s="1"/>
  <c r="E14" i="10" s="1"/>
  <c r="AL98" i="2"/>
  <c r="AM98" i="2" s="1"/>
  <c r="AI98" i="2"/>
  <c r="AH99" i="2" s="1"/>
  <c r="G75" i="10" s="1"/>
  <c r="AL38" i="2"/>
  <c r="AM38" i="2" s="1"/>
  <c r="AI38" i="2"/>
  <c r="AH39" i="2" s="1"/>
  <c r="G15" i="10" s="1"/>
  <c r="AJ50" i="2"/>
  <c r="AV38" i="2"/>
  <c r="AW38" i="2" s="1"/>
  <c r="AS38" i="2"/>
  <c r="AR39" i="2" s="1"/>
  <c r="F15" i="10" s="1"/>
  <c r="AL86" i="2"/>
  <c r="AM86" i="2" s="1"/>
  <c r="AI86" i="2"/>
  <c r="AH87" i="2" s="1"/>
  <c r="G63" i="10" s="1"/>
  <c r="BA40" i="2"/>
  <c r="AQ40" i="2"/>
  <c r="M40" i="2"/>
  <c r="W40" i="2" s="1"/>
  <c r="AG40" i="2" s="1"/>
  <c r="G17" i="7"/>
  <c r="B25" i="7" s="1"/>
  <c r="C41" i="2" s="1"/>
  <c r="C17" i="10" s="1"/>
  <c r="H14" i="7"/>
  <c r="AL74" i="2"/>
  <c r="AM74" i="2" s="1"/>
  <c r="AI74" i="2"/>
  <c r="AH75" i="2" s="1"/>
  <c r="G51" i="10" s="1"/>
  <c r="AJ62" i="2"/>
  <c r="BD37" i="2" l="1"/>
  <c r="G58" i="2"/>
  <c r="BI59" i="2"/>
  <c r="AJ99" i="2"/>
  <c r="AL62" i="2"/>
  <c r="AM62" i="2" s="1"/>
  <c r="AI62" i="2"/>
  <c r="AH63" i="2" s="1"/>
  <c r="G39" i="10" s="1"/>
  <c r="AJ75" i="2"/>
  <c r="AT39" i="2"/>
  <c r="AL50" i="2"/>
  <c r="AM50" i="2" s="1"/>
  <c r="AI50" i="2"/>
  <c r="AH51" i="2" s="1"/>
  <c r="G27" i="10" s="1"/>
  <c r="AJ87" i="2"/>
  <c r="AJ39" i="2"/>
  <c r="BA41" i="2"/>
  <c r="AQ41" i="2"/>
  <c r="M41" i="2"/>
  <c r="W41" i="2" s="1"/>
  <c r="AG41" i="2" s="1"/>
  <c r="H17" i="7"/>
  <c r="B26" i="7" s="1"/>
  <c r="C42" i="2" s="1"/>
  <c r="C18" i="10" s="1"/>
  <c r="I14" i="7"/>
  <c r="Z38" i="2" l="1"/>
  <c r="AB38" i="2" s="1"/>
  <c r="AC38" i="2" s="1"/>
  <c r="BC37" i="2"/>
  <c r="BF37" i="2"/>
  <c r="BG37" i="2" s="1"/>
  <c r="G59" i="2"/>
  <c r="AL99" i="2"/>
  <c r="AM99" i="2" s="1"/>
  <c r="AI99" i="2"/>
  <c r="AH100" i="2" s="1"/>
  <c r="G76" i="10" s="1"/>
  <c r="AV39" i="2"/>
  <c r="AW39" i="2" s="1"/>
  <c r="AS39" i="2"/>
  <c r="AR40" i="2" s="1"/>
  <c r="F16" i="10" s="1"/>
  <c r="AL75" i="2"/>
  <c r="AM75" i="2" s="1"/>
  <c r="AI75" i="2"/>
  <c r="AH76" i="2" s="1"/>
  <c r="G52" i="10" s="1"/>
  <c r="AL39" i="2"/>
  <c r="AM39" i="2" s="1"/>
  <c r="AI39" i="2"/>
  <c r="AH40" i="2" s="1"/>
  <c r="G16" i="10" s="1"/>
  <c r="AJ63" i="2"/>
  <c r="I17" i="7"/>
  <c r="B27" i="7" s="1"/>
  <c r="C43" i="2" s="1"/>
  <c r="C19" i="10" s="1"/>
  <c r="J14" i="7"/>
  <c r="AJ51" i="2"/>
  <c r="BA42" i="2"/>
  <c r="AQ42" i="2"/>
  <c r="M42" i="2"/>
  <c r="W42" i="2" s="1"/>
  <c r="AG42" i="2" s="1"/>
  <c r="AL87" i="2"/>
  <c r="AM87" i="2" s="1"/>
  <c r="AI87" i="2"/>
  <c r="AH88" i="2" s="1"/>
  <c r="G64" i="10" s="1"/>
  <c r="Y38" i="2" l="1"/>
  <c r="X39" i="2" s="1"/>
  <c r="E15" i="10" s="1"/>
  <c r="BB38" i="2"/>
  <c r="G60" i="2"/>
  <c r="AJ100" i="2"/>
  <c r="AJ88" i="2"/>
  <c r="AJ40" i="2"/>
  <c r="AJ76" i="2"/>
  <c r="J17" i="7"/>
  <c r="B28" i="7" s="1"/>
  <c r="C44" i="2" s="1"/>
  <c r="C20" i="10" s="1"/>
  <c r="K14" i="7"/>
  <c r="AT40" i="2"/>
  <c r="BA43" i="2"/>
  <c r="AQ43" i="2"/>
  <c r="M43" i="2"/>
  <c r="W43" i="2" s="1"/>
  <c r="AG43" i="2" s="1"/>
  <c r="AL63" i="2"/>
  <c r="AM63" i="2" s="1"/>
  <c r="AI63" i="2"/>
  <c r="AH64" i="2" s="1"/>
  <c r="G40" i="10" s="1"/>
  <c r="AL51" i="2"/>
  <c r="AM51" i="2" s="1"/>
  <c r="AI51" i="2"/>
  <c r="AH52" i="2" s="1"/>
  <c r="G28" i="10" s="1"/>
  <c r="BI61" i="2" l="1"/>
  <c r="BD38" i="2"/>
  <c r="Z39" i="2"/>
  <c r="G61" i="2"/>
  <c r="BI62" i="2"/>
  <c r="AL100" i="2"/>
  <c r="AM100" i="2" s="1"/>
  <c r="AI100" i="2"/>
  <c r="AH101" i="2" s="1"/>
  <c r="G77" i="10" s="1"/>
  <c r="M44" i="2"/>
  <c r="W44" i="2" s="1"/>
  <c r="AG44" i="2" s="1"/>
  <c r="BA44" i="2"/>
  <c r="AQ44" i="2"/>
  <c r="AJ52" i="2"/>
  <c r="AJ64" i="2"/>
  <c r="AL40" i="2"/>
  <c r="AM40" i="2" s="1"/>
  <c r="AI40" i="2"/>
  <c r="AH41" i="2" s="1"/>
  <c r="G17" i="10" s="1"/>
  <c r="K17" i="7"/>
  <c r="B29" i="7" s="1"/>
  <c r="C45" i="2" s="1"/>
  <c r="C21" i="10" s="1"/>
  <c r="L14" i="7"/>
  <c r="AL76" i="2"/>
  <c r="AM76" i="2" s="1"/>
  <c r="AI76" i="2"/>
  <c r="AH77" i="2" s="1"/>
  <c r="G53" i="10" s="1"/>
  <c r="AV40" i="2"/>
  <c r="AW40" i="2" s="1"/>
  <c r="AS40" i="2"/>
  <c r="AR41" i="2" s="1"/>
  <c r="F17" i="10" s="1"/>
  <c r="AL88" i="2"/>
  <c r="AM88" i="2" s="1"/>
  <c r="AI88" i="2"/>
  <c r="AH89" i="2" s="1"/>
  <c r="G65" i="10" s="1"/>
  <c r="BC38" i="2" l="1"/>
  <c r="BF38" i="2"/>
  <c r="BG38" i="2" s="1"/>
  <c r="AB39" i="2"/>
  <c r="AC39" i="2" s="1"/>
  <c r="Y39" i="2"/>
  <c r="G62" i="2"/>
  <c r="BI63" i="2"/>
  <c r="AJ101" i="2"/>
  <c r="AT41" i="2"/>
  <c r="AL64" i="2"/>
  <c r="AM64" i="2" s="1"/>
  <c r="AI64" i="2"/>
  <c r="AH65" i="2" s="1"/>
  <c r="G41" i="10" s="1"/>
  <c r="AJ89" i="2"/>
  <c r="AL52" i="2"/>
  <c r="AM52" i="2" s="1"/>
  <c r="AI52" i="2"/>
  <c r="AH53" i="2" s="1"/>
  <c r="G29" i="10" s="1"/>
  <c r="AJ77" i="2"/>
  <c r="L17" i="7"/>
  <c r="B30" i="7" s="1"/>
  <c r="C46" i="2" s="1"/>
  <c r="C22" i="10" s="1"/>
  <c r="M14" i="7"/>
  <c r="M45" i="2"/>
  <c r="W45" i="2" s="1"/>
  <c r="AG45" i="2" s="1"/>
  <c r="AQ45" i="2"/>
  <c r="BA45" i="2"/>
  <c r="AJ41" i="2"/>
  <c r="X40" i="2" l="1"/>
  <c r="E16" i="10" s="1"/>
  <c r="BB39" i="2"/>
  <c r="G63" i="2"/>
  <c r="BI64" i="2"/>
  <c r="AL101" i="2"/>
  <c r="AM101" i="2" s="1"/>
  <c r="AI101" i="2"/>
  <c r="AH102" i="2" s="1"/>
  <c r="G78" i="10" s="1"/>
  <c r="AL89" i="2"/>
  <c r="AM89" i="2" s="1"/>
  <c r="AI89" i="2"/>
  <c r="AH90" i="2" s="1"/>
  <c r="G66" i="10" s="1"/>
  <c r="AJ53" i="2"/>
  <c r="AJ65" i="2"/>
  <c r="M17" i="7"/>
  <c r="B31" i="7" s="1"/>
  <c r="C47" i="2" s="1"/>
  <c r="C23" i="10" s="1"/>
  <c r="N14" i="7"/>
  <c r="BA46" i="2"/>
  <c r="AQ46" i="2"/>
  <c r="M46" i="2"/>
  <c r="W46" i="2" s="1"/>
  <c r="AG46" i="2" s="1"/>
  <c r="AV41" i="2"/>
  <c r="AW41" i="2" s="1"/>
  <c r="AS41" i="2"/>
  <c r="AR42" i="2" s="1"/>
  <c r="F18" i="10" s="1"/>
  <c r="AL41" i="2"/>
  <c r="AM41" i="2" s="1"/>
  <c r="AI41" i="2"/>
  <c r="AH42" i="2" s="1"/>
  <c r="G18" i="10" s="1"/>
  <c r="AL77" i="2"/>
  <c r="AM77" i="2" s="1"/>
  <c r="AI77" i="2"/>
  <c r="AH78" i="2" s="1"/>
  <c r="G54" i="10" s="1"/>
  <c r="BD39" i="2" l="1"/>
  <c r="Z40" i="2"/>
  <c r="G64" i="2"/>
  <c r="BI65" i="2"/>
  <c r="AJ102" i="2"/>
  <c r="AJ42" i="2"/>
  <c r="AJ90" i="2"/>
  <c r="BA47" i="2"/>
  <c r="AQ47" i="2"/>
  <c r="M47" i="2"/>
  <c r="W47" i="2" s="1"/>
  <c r="AG47" i="2" s="1"/>
  <c r="AL53" i="2"/>
  <c r="AM53" i="2" s="1"/>
  <c r="AI53" i="2"/>
  <c r="AH54" i="2" s="1"/>
  <c r="G30" i="10" s="1"/>
  <c r="O14" i="7"/>
  <c r="N17" i="7"/>
  <c r="B32" i="7" s="1"/>
  <c r="C48" i="2" s="1"/>
  <c r="C24" i="10" s="1"/>
  <c r="AT42" i="2"/>
  <c r="AL65" i="2"/>
  <c r="AM65" i="2" s="1"/>
  <c r="AI65" i="2"/>
  <c r="AH66" i="2" s="1"/>
  <c r="G42" i="10" s="1"/>
  <c r="AJ78" i="2"/>
  <c r="BF39" i="2" l="1"/>
  <c r="BG39" i="2" s="1"/>
  <c r="BC39" i="2"/>
  <c r="AB40" i="2"/>
  <c r="AC40" i="2" s="1"/>
  <c r="Y40" i="2"/>
  <c r="X41" i="2" s="1"/>
  <c r="E17" i="10" s="1"/>
  <c r="G65" i="2"/>
  <c r="BI66" i="2"/>
  <c r="AL102" i="2"/>
  <c r="AM102" i="2" s="1"/>
  <c r="AI102" i="2"/>
  <c r="AH103" i="2" s="1"/>
  <c r="G79" i="10" s="1"/>
  <c r="AL42" i="2"/>
  <c r="AM42" i="2" s="1"/>
  <c r="AI42" i="2"/>
  <c r="AH43" i="2" s="1"/>
  <c r="G19" i="10" s="1"/>
  <c r="AJ54" i="2"/>
  <c r="AJ66" i="2"/>
  <c r="AV42" i="2"/>
  <c r="AW42" i="2" s="1"/>
  <c r="AS42" i="2"/>
  <c r="AR43" i="2" s="1"/>
  <c r="F19" i="10" s="1"/>
  <c r="AL90" i="2"/>
  <c r="AM90" i="2" s="1"/>
  <c r="AI90" i="2"/>
  <c r="AH91" i="2" s="1"/>
  <c r="G67" i="10" s="1"/>
  <c r="BA48" i="2"/>
  <c r="AQ48" i="2"/>
  <c r="M48" i="2"/>
  <c r="W48" i="2" s="1"/>
  <c r="AG48" i="2" s="1"/>
  <c r="AL78" i="2"/>
  <c r="AM78" i="2" s="1"/>
  <c r="AI78" i="2"/>
  <c r="AH79" i="2" s="1"/>
  <c r="G55" i="10" s="1"/>
  <c r="O17" i="7"/>
  <c r="B33" i="7" s="1"/>
  <c r="C49" i="2" s="1"/>
  <c r="C25" i="10" s="1"/>
  <c r="P14" i="7"/>
  <c r="BB40" i="2" l="1"/>
  <c r="G66" i="2"/>
  <c r="BI67" i="2"/>
  <c r="AJ103" i="2"/>
  <c r="AJ91" i="2"/>
  <c r="AJ43" i="2"/>
  <c r="AJ79" i="2"/>
  <c r="AL54" i="2"/>
  <c r="AM54" i="2" s="1"/>
  <c r="AI54" i="2"/>
  <c r="AH55" i="2" s="1"/>
  <c r="G31" i="10" s="1"/>
  <c r="AL66" i="2"/>
  <c r="AM66" i="2" s="1"/>
  <c r="AI66" i="2"/>
  <c r="AH67" i="2" s="1"/>
  <c r="G43" i="10" s="1"/>
  <c r="AT43" i="2"/>
  <c r="BA49" i="2"/>
  <c r="M49" i="2"/>
  <c r="W49" i="2" s="1"/>
  <c r="AG49" i="2" s="1"/>
  <c r="AQ49" i="2"/>
  <c r="P17" i="7"/>
  <c r="B34" i="7" s="1"/>
  <c r="C50" i="2" s="1"/>
  <c r="C26" i="10" s="1"/>
  <c r="Q14" i="7"/>
  <c r="BD40" i="2" l="1"/>
  <c r="Z41" i="2"/>
  <c r="G67" i="2"/>
  <c r="BI68" i="2"/>
  <c r="AL103" i="2"/>
  <c r="AM103" i="2" s="1"/>
  <c r="AI103" i="2"/>
  <c r="AH104" i="2" s="1"/>
  <c r="G80" i="10" s="1"/>
  <c r="R14" i="7"/>
  <c r="Q17" i="7"/>
  <c r="B35" i="7" s="1"/>
  <c r="C51" i="2" s="1"/>
  <c r="C27" i="10" s="1"/>
  <c r="AJ55" i="2"/>
  <c r="AJ67" i="2"/>
  <c r="AL43" i="2"/>
  <c r="AM43" i="2" s="1"/>
  <c r="AI43" i="2"/>
  <c r="AH44" i="2" s="1"/>
  <c r="G20" i="10" s="1"/>
  <c r="BA50" i="2"/>
  <c r="AQ50" i="2"/>
  <c r="M50" i="2"/>
  <c r="W50" i="2" s="1"/>
  <c r="AG50" i="2" s="1"/>
  <c r="AL79" i="2"/>
  <c r="AM79" i="2" s="1"/>
  <c r="AI79" i="2"/>
  <c r="AH80" i="2" s="1"/>
  <c r="G56" i="10" s="1"/>
  <c r="AV43" i="2"/>
  <c r="AW43" i="2" s="1"/>
  <c r="AS43" i="2"/>
  <c r="AR44" i="2" s="1"/>
  <c r="F20" i="10" s="1"/>
  <c r="AL91" i="2"/>
  <c r="AM91" i="2" s="1"/>
  <c r="AI91" i="2"/>
  <c r="AH92" i="2" s="1"/>
  <c r="G68" i="10" s="1"/>
  <c r="BF40" i="2" l="1"/>
  <c r="BG40" i="2" s="1"/>
  <c r="BC40" i="2"/>
  <c r="AB41" i="2"/>
  <c r="AC41" i="2" s="1"/>
  <c r="Y41" i="2"/>
  <c r="X42" i="2" s="1"/>
  <c r="E18" i="10" s="1"/>
  <c r="G68" i="2"/>
  <c r="BI69" i="2"/>
  <c r="AJ104" i="2"/>
  <c r="AJ44" i="2"/>
  <c r="AL67" i="2"/>
  <c r="AM67" i="2" s="1"/>
  <c r="AI67" i="2"/>
  <c r="AH68" i="2" s="1"/>
  <c r="G44" i="10" s="1"/>
  <c r="AL55" i="2"/>
  <c r="AM55" i="2" s="1"/>
  <c r="AI55" i="2"/>
  <c r="AH56" i="2" s="1"/>
  <c r="G32" i="10" s="1"/>
  <c r="AT44" i="2"/>
  <c r="AJ80" i="2"/>
  <c r="BA51" i="2"/>
  <c r="AQ51" i="2"/>
  <c r="M51" i="2"/>
  <c r="W51" i="2" s="1"/>
  <c r="AG51" i="2" s="1"/>
  <c r="AJ92" i="2"/>
  <c r="R17" i="7"/>
  <c r="B36" i="7" s="1"/>
  <c r="C52" i="2" s="1"/>
  <c r="C28" i="10" s="1"/>
  <c r="S14" i="7"/>
  <c r="BB41" i="2" l="1"/>
  <c r="G69" i="2"/>
  <c r="BI70" i="2"/>
  <c r="AL104" i="2"/>
  <c r="AM104" i="2" s="1"/>
  <c r="AI104" i="2"/>
  <c r="AH105" i="2" s="1"/>
  <c r="G81" i="10" s="1"/>
  <c r="AL80" i="2"/>
  <c r="AM80" i="2" s="1"/>
  <c r="AI80" i="2"/>
  <c r="AH81" i="2" s="1"/>
  <c r="G57" i="10" s="1"/>
  <c r="AV44" i="2"/>
  <c r="AW44" i="2" s="1"/>
  <c r="AS44" i="2"/>
  <c r="AR45" i="2" s="1"/>
  <c r="F21" i="10" s="1"/>
  <c r="AL92" i="2"/>
  <c r="AM92" i="2" s="1"/>
  <c r="AI92" i="2"/>
  <c r="AH93" i="2" s="1"/>
  <c r="G69" i="10" s="1"/>
  <c r="AJ56" i="2"/>
  <c r="S17" i="7"/>
  <c r="B37" i="7" s="1"/>
  <c r="C53" i="2" s="1"/>
  <c r="C29" i="10" s="1"/>
  <c r="T14" i="7"/>
  <c r="BA52" i="2"/>
  <c r="AQ52" i="2"/>
  <c r="M52" i="2"/>
  <c r="W52" i="2" s="1"/>
  <c r="AG52" i="2" s="1"/>
  <c r="AJ68" i="2"/>
  <c r="AL44" i="2"/>
  <c r="AM44" i="2" s="1"/>
  <c r="AI44" i="2"/>
  <c r="AH45" i="2" s="1"/>
  <c r="G21" i="10" s="1"/>
  <c r="Z42" i="2" l="1"/>
  <c r="AB42" i="2" s="1"/>
  <c r="AC42" i="2" s="1"/>
  <c r="BD41" i="2"/>
  <c r="G70" i="2"/>
  <c r="BI71" i="2"/>
  <c r="AJ105" i="2"/>
  <c r="AJ81" i="2"/>
  <c r="AJ93" i="2"/>
  <c r="AL68" i="2"/>
  <c r="AM68" i="2" s="1"/>
  <c r="AI68" i="2"/>
  <c r="AH69" i="2" s="1"/>
  <c r="G45" i="10" s="1"/>
  <c r="AL56" i="2"/>
  <c r="AM56" i="2" s="1"/>
  <c r="AI56" i="2"/>
  <c r="AH57" i="2" s="1"/>
  <c r="G33" i="10" s="1"/>
  <c r="T17" i="7"/>
  <c r="B38" i="7" s="1"/>
  <c r="C54" i="2" s="1"/>
  <c r="C30" i="10" s="1"/>
  <c r="U14" i="7"/>
  <c r="AT45" i="2"/>
  <c r="AJ45" i="2"/>
  <c r="BA53" i="2"/>
  <c r="M53" i="2"/>
  <c r="W53" i="2" s="1"/>
  <c r="AG53" i="2" s="1"/>
  <c r="AQ53" i="2"/>
  <c r="Y42" i="2" l="1"/>
  <c r="X43" i="2" s="1"/>
  <c r="E19" i="10" s="1"/>
  <c r="BC41" i="2"/>
  <c r="BF41" i="2"/>
  <c r="BG41" i="2" s="1"/>
  <c r="G71" i="2"/>
  <c r="AL105" i="2"/>
  <c r="AM105" i="2" s="1"/>
  <c r="AI105" i="2"/>
  <c r="AH106" i="2" s="1"/>
  <c r="G82" i="10" s="1"/>
  <c r="AJ57" i="2"/>
  <c r="AL45" i="2"/>
  <c r="AM45" i="2" s="1"/>
  <c r="AI45" i="2"/>
  <c r="AH46" i="2" s="1"/>
  <c r="G22" i="10" s="1"/>
  <c r="AL93" i="2"/>
  <c r="AM93" i="2" s="1"/>
  <c r="AI93" i="2"/>
  <c r="AH94" i="2" s="1"/>
  <c r="G70" i="10" s="1"/>
  <c r="AQ54" i="2"/>
  <c r="BA54" i="2"/>
  <c r="M54" i="2"/>
  <c r="W54" i="2" s="1"/>
  <c r="AG54" i="2" s="1"/>
  <c r="AJ69" i="2"/>
  <c r="AV45" i="2"/>
  <c r="AW45" i="2" s="1"/>
  <c r="AS45" i="2"/>
  <c r="AR46" i="2" s="1"/>
  <c r="F22" i="10" s="1"/>
  <c r="AL81" i="2"/>
  <c r="AM81" i="2" s="1"/>
  <c r="AI81" i="2"/>
  <c r="AH82" i="2" s="1"/>
  <c r="G58" i="10" s="1"/>
  <c r="U17" i="7"/>
  <c r="B39" i="7" s="1"/>
  <c r="C55" i="2" s="1"/>
  <c r="C31" i="10" s="1"/>
  <c r="V14" i="7"/>
  <c r="Z43" i="2" l="1"/>
  <c r="AB43" i="2" s="1"/>
  <c r="AC43" i="2" s="1"/>
  <c r="BB42" i="2"/>
  <c r="G72" i="2"/>
  <c r="AJ106" i="2"/>
  <c r="AJ82" i="2"/>
  <c r="AL69" i="2"/>
  <c r="AM69" i="2" s="1"/>
  <c r="AI69" i="2"/>
  <c r="AH70" i="2" s="1"/>
  <c r="G46" i="10" s="1"/>
  <c r="AJ46" i="2"/>
  <c r="V17" i="7"/>
  <c r="B40" i="7" s="1"/>
  <c r="C56" i="2" s="1"/>
  <c r="C32" i="10" s="1"/>
  <c r="W14" i="7"/>
  <c r="AT46" i="2"/>
  <c r="BA55" i="2"/>
  <c r="M55" i="2"/>
  <c r="W55" i="2" s="1"/>
  <c r="AG55" i="2" s="1"/>
  <c r="AQ55" i="2"/>
  <c r="AJ94" i="2"/>
  <c r="AL57" i="2"/>
  <c r="AM57" i="2" s="1"/>
  <c r="AI57" i="2"/>
  <c r="AH58" i="2" s="1"/>
  <c r="G34" i="10" s="1"/>
  <c r="Y43" i="2" l="1"/>
  <c r="X44" i="2" s="1"/>
  <c r="E20" i="10" s="1"/>
  <c r="BI73" i="2"/>
  <c r="BD42" i="2"/>
  <c r="G73" i="2"/>
  <c r="BI74" i="2"/>
  <c r="AL106" i="2"/>
  <c r="AM106" i="2" s="1"/>
  <c r="AI106" i="2"/>
  <c r="AH107" i="2" s="1"/>
  <c r="W17" i="7"/>
  <c r="B41" i="7" s="1"/>
  <c r="C57" i="2" s="1"/>
  <c r="C33" i="10" s="1"/>
  <c r="X14" i="7"/>
  <c r="AL82" i="2"/>
  <c r="AM82" i="2" s="1"/>
  <c r="AI82" i="2"/>
  <c r="AH83" i="2" s="1"/>
  <c r="AJ70" i="2"/>
  <c r="AV46" i="2"/>
  <c r="AW46" i="2" s="1"/>
  <c r="AS46" i="2"/>
  <c r="AR47" i="2" s="1"/>
  <c r="F23" i="10" s="1"/>
  <c r="M56" i="2"/>
  <c r="W56" i="2" s="1"/>
  <c r="AG56" i="2" s="1"/>
  <c r="BA56" i="2"/>
  <c r="AQ56" i="2"/>
  <c r="AL46" i="2"/>
  <c r="AM46" i="2" s="1"/>
  <c r="AI46" i="2"/>
  <c r="AH47" i="2" s="1"/>
  <c r="AL94" i="2"/>
  <c r="AM94" i="2" s="1"/>
  <c r="AI94" i="2"/>
  <c r="AH95" i="2" s="1"/>
  <c r="AJ58" i="2"/>
  <c r="Z44" i="2" l="1"/>
  <c r="AB44" i="2" s="1"/>
  <c r="AC44" i="2" s="1"/>
  <c r="AJ83" i="2"/>
  <c r="G59" i="10"/>
  <c r="AJ107" i="2"/>
  <c r="AL107" i="2" s="1"/>
  <c r="AM107" i="2" s="1"/>
  <c r="G83" i="10"/>
  <c r="AJ47" i="2"/>
  <c r="AI47" i="2" s="1"/>
  <c r="G23" i="10"/>
  <c r="AJ95" i="2"/>
  <c r="AL95" i="2" s="1"/>
  <c r="AM95" i="2" s="1"/>
  <c r="G71" i="10"/>
  <c r="BF42" i="2"/>
  <c r="BG42" i="2" s="1"/>
  <c r="BC42" i="2"/>
  <c r="G74" i="2"/>
  <c r="BI75" i="2"/>
  <c r="AI107" i="2"/>
  <c r="AL58" i="2"/>
  <c r="AM58" i="2" s="1"/>
  <c r="AI58" i="2"/>
  <c r="AH59" i="2" s="1"/>
  <c r="AT47" i="2"/>
  <c r="AL70" i="2"/>
  <c r="AM70" i="2" s="1"/>
  <c r="AI70" i="2"/>
  <c r="AH71" i="2" s="1"/>
  <c r="AL83" i="2"/>
  <c r="AM83" i="2" s="1"/>
  <c r="AI83" i="2"/>
  <c r="X17" i="7"/>
  <c r="B42" i="7" s="1"/>
  <c r="C58" i="2" s="1"/>
  <c r="C34" i="10" s="1"/>
  <c r="Y14" i="7"/>
  <c r="BA57" i="2"/>
  <c r="M57" i="2"/>
  <c r="W57" i="2" s="1"/>
  <c r="AG57" i="2" s="1"/>
  <c r="AQ57" i="2"/>
  <c r="AL47" i="2" l="1"/>
  <c r="AM47" i="2" s="1"/>
  <c r="Y44" i="2"/>
  <c r="X45" i="2" s="1"/>
  <c r="E21" i="10" s="1"/>
  <c r="AJ59" i="2"/>
  <c r="G35" i="10"/>
  <c r="AI95" i="2"/>
  <c r="AJ71" i="2"/>
  <c r="AI71" i="2" s="1"/>
  <c r="G47" i="10"/>
  <c r="BB43" i="2"/>
  <c r="G75" i="2"/>
  <c r="BI76" i="2"/>
  <c r="AL59" i="2"/>
  <c r="AM59" i="2" s="1"/>
  <c r="AI59" i="2"/>
  <c r="AL71" i="2"/>
  <c r="AM71" i="2" s="1"/>
  <c r="Z14" i="7"/>
  <c r="Y17" i="7"/>
  <c r="B43" i="7" s="1"/>
  <c r="C59" i="2" s="1"/>
  <c r="C35" i="10" s="1"/>
  <c r="AV47" i="2"/>
  <c r="AW47" i="2" s="1"/>
  <c r="AS47" i="2"/>
  <c r="AR48" i="2" s="1"/>
  <c r="F24" i="10" s="1"/>
  <c r="BA58" i="2"/>
  <c r="AQ58" i="2"/>
  <c r="M58" i="2"/>
  <c r="W58" i="2" s="1"/>
  <c r="AG58" i="2" s="1"/>
  <c r="Z45" i="2" l="1"/>
  <c r="AB45" i="2" s="1"/>
  <c r="AC45" i="2" s="1"/>
  <c r="BD43" i="2"/>
  <c r="G76" i="2"/>
  <c r="BI77" i="2"/>
  <c r="AT48" i="2"/>
  <c r="BA59" i="2"/>
  <c r="AQ59" i="2"/>
  <c r="M59" i="2"/>
  <c r="W59" i="2" s="1"/>
  <c r="AG59" i="2" s="1"/>
  <c r="Z17" i="7"/>
  <c r="B44" i="7" s="1"/>
  <c r="C60" i="2" s="1"/>
  <c r="C36" i="10" s="1"/>
  <c r="AA14" i="7"/>
  <c r="Y45" i="2" l="1"/>
  <c r="X46" i="2" s="1"/>
  <c r="E22" i="10" s="1"/>
  <c r="BF43" i="2"/>
  <c r="BG43" i="2" s="1"/>
  <c r="BC43" i="2"/>
  <c r="G77" i="2"/>
  <c r="BI78" i="2"/>
  <c r="BA60" i="2"/>
  <c r="AQ60" i="2"/>
  <c r="M60" i="2"/>
  <c r="W60" i="2" s="1"/>
  <c r="AG60" i="2" s="1"/>
  <c r="AA17" i="7"/>
  <c r="B45" i="7" s="1"/>
  <c r="C61" i="2" s="1"/>
  <c r="C37" i="10" s="1"/>
  <c r="AB14" i="7"/>
  <c r="AV48" i="2"/>
  <c r="AW48" i="2" s="1"/>
  <c r="AS48" i="2"/>
  <c r="AR49" i="2" s="1"/>
  <c r="F25" i="10" s="1"/>
  <c r="Z46" i="2" l="1"/>
  <c r="AB46" i="2" s="1"/>
  <c r="AC46" i="2" s="1"/>
  <c r="BB44" i="2"/>
  <c r="G78" i="2"/>
  <c r="BI79" i="2"/>
  <c r="AB17" i="7"/>
  <c r="B46" i="7" s="1"/>
  <c r="C62" i="2" s="1"/>
  <c r="C38" i="10" s="1"/>
  <c r="AC14" i="7"/>
  <c r="AT49" i="2"/>
  <c r="BA61" i="2"/>
  <c r="AQ61" i="2"/>
  <c r="M61" i="2"/>
  <c r="W61" i="2" s="1"/>
  <c r="AG61" i="2" s="1"/>
  <c r="Y46" i="2" l="1"/>
  <c r="X47" i="2" s="1"/>
  <c r="E23" i="10" s="1"/>
  <c r="BD44" i="2"/>
  <c r="G79" i="2"/>
  <c r="BI80" i="2"/>
  <c r="AC17" i="7"/>
  <c r="B47" i="7" s="1"/>
  <c r="C63" i="2" s="1"/>
  <c r="C39" i="10" s="1"/>
  <c r="AD14" i="7"/>
  <c r="AV49" i="2"/>
  <c r="AW49" i="2" s="1"/>
  <c r="AS49" i="2"/>
  <c r="AR50" i="2" s="1"/>
  <c r="F26" i="10" s="1"/>
  <c r="BA62" i="2"/>
  <c r="AQ62" i="2"/>
  <c r="M62" i="2"/>
  <c r="W62" i="2" s="1"/>
  <c r="AG62" i="2" s="1"/>
  <c r="Z47" i="2" l="1"/>
  <c r="AB47" i="2" s="1"/>
  <c r="AC47" i="2" s="1"/>
  <c r="BF44" i="2"/>
  <c r="BG44" i="2" s="1"/>
  <c r="BC44" i="2"/>
  <c r="G80" i="2"/>
  <c r="BI81" i="2"/>
  <c r="BA63" i="2"/>
  <c r="AQ63" i="2"/>
  <c r="M63" i="2"/>
  <c r="W63" i="2" s="1"/>
  <c r="AG63" i="2" s="1"/>
  <c r="AT50" i="2"/>
  <c r="AD17" i="7"/>
  <c r="B48" i="7" s="1"/>
  <c r="C64" i="2" s="1"/>
  <c r="C40" i="10" s="1"/>
  <c r="AE14" i="7"/>
  <c r="Y47" i="2" l="1"/>
  <c r="BB45" i="2"/>
  <c r="G81" i="2"/>
  <c r="BI82" i="2"/>
  <c r="AE17" i="7"/>
  <c r="B49" i="7" s="1"/>
  <c r="C65" i="2" s="1"/>
  <c r="C41" i="10" s="1"/>
  <c r="AF14" i="7"/>
  <c r="M64" i="2"/>
  <c r="W64" i="2" s="1"/>
  <c r="AG64" i="2" s="1"/>
  <c r="BA64" i="2"/>
  <c r="AQ64" i="2"/>
  <c r="AV50" i="2"/>
  <c r="AW50" i="2" s="1"/>
  <c r="AS50" i="2"/>
  <c r="AR51" i="2" s="1"/>
  <c r="F27" i="10" s="1"/>
  <c r="BD45" i="2" l="1"/>
  <c r="G82" i="2"/>
  <c r="BI83" i="2"/>
  <c r="AT51" i="2"/>
  <c r="AF17" i="7"/>
  <c r="B50" i="7" s="1"/>
  <c r="C66" i="2" s="1"/>
  <c r="C42" i="10" s="1"/>
  <c r="AG14" i="7"/>
  <c r="AQ65" i="2"/>
  <c r="BA65" i="2"/>
  <c r="M65" i="2"/>
  <c r="W65" i="2" s="1"/>
  <c r="AG65" i="2" s="1"/>
  <c r="Z48" i="2" l="1"/>
  <c r="Y48" i="2" s="1"/>
  <c r="X49" i="2" s="1"/>
  <c r="E25" i="10" s="1"/>
  <c r="BF45" i="2"/>
  <c r="BG45" i="2" s="1"/>
  <c r="BC45" i="2"/>
  <c r="G83" i="2"/>
  <c r="BA66" i="2"/>
  <c r="AQ66" i="2"/>
  <c r="M66" i="2"/>
  <c r="W66" i="2" s="1"/>
  <c r="AG66" i="2" s="1"/>
  <c r="AG17" i="7"/>
  <c r="B51" i="7" s="1"/>
  <c r="C67" i="2" s="1"/>
  <c r="C43" i="10" s="1"/>
  <c r="AH14" i="7"/>
  <c r="AV51" i="2"/>
  <c r="AW51" i="2" s="1"/>
  <c r="AS51" i="2"/>
  <c r="AR52" i="2" s="1"/>
  <c r="F28" i="10" s="1"/>
  <c r="AB48" i="2" l="1"/>
  <c r="AC48" i="2" s="1"/>
  <c r="Z49" i="2"/>
  <c r="Y49" i="2" s="1"/>
  <c r="X50" i="2" s="1"/>
  <c r="E26" i="10" s="1"/>
  <c r="BI85" i="2"/>
  <c r="BB46" i="2"/>
  <c r="AT52" i="2"/>
  <c r="BA67" i="2"/>
  <c r="AQ67" i="2"/>
  <c r="M67" i="2"/>
  <c r="W67" i="2" s="1"/>
  <c r="AG67" i="2" s="1"/>
  <c r="AH17" i="7"/>
  <c r="B52" i="7" s="1"/>
  <c r="C68" i="2" s="1"/>
  <c r="AI14" i="7"/>
  <c r="Z50" i="2" l="1"/>
  <c r="AB50" i="2" s="1"/>
  <c r="AC50" i="2" s="1"/>
  <c r="AB49" i="2"/>
  <c r="AC49" i="2" s="1"/>
  <c r="BI86" i="2"/>
  <c r="C44" i="10"/>
  <c r="BD46" i="2"/>
  <c r="BA68" i="2"/>
  <c r="M68" i="2"/>
  <c r="W68" i="2" s="1"/>
  <c r="AG68" i="2" s="1"/>
  <c r="AQ68" i="2"/>
  <c r="AV52" i="2"/>
  <c r="AW52" i="2" s="1"/>
  <c r="AS52" i="2"/>
  <c r="AR53" i="2" s="1"/>
  <c r="F29" i="10" s="1"/>
  <c r="AI17" i="7"/>
  <c r="B53" i="7" s="1"/>
  <c r="C69" i="2" s="1"/>
  <c r="AJ14" i="7"/>
  <c r="Y50" i="2" l="1"/>
  <c r="X51" i="2" s="1"/>
  <c r="E27" i="10" s="1"/>
  <c r="BI87" i="2"/>
  <c r="C45" i="10"/>
  <c r="BF46" i="2"/>
  <c r="BG46" i="2" s="1"/>
  <c r="BC46" i="2"/>
  <c r="AQ69" i="2"/>
  <c r="BA69" i="2"/>
  <c r="M69" i="2"/>
  <c r="W69" i="2" s="1"/>
  <c r="AG69" i="2" s="1"/>
  <c r="AJ17" i="7"/>
  <c r="B54" i="7" s="1"/>
  <c r="C70" i="2" s="1"/>
  <c r="AK14" i="7"/>
  <c r="AT53" i="2"/>
  <c r="Z51" i="2" l="1"/>
  <c r="Y51" i="2" s="1"/>
  <c r="X52" i="2" s="1"/>
  <c r="E28" i="10" s="1"/>
  <c r="BI88" i="2"/>
  <c r="C46" i="10"/>
  <c r="BB47" i="2"/>
  <c r="BA70" i="2"/>
  <c r="AQ70" i="2"/>
  <c r="M70" i="2"/>
  <c r="W70" i="2" s="1"/>
  <c r="AG70" i="2" s="1"/>
  <c r="N48" i="2"/>
  <c r="D24" i="10" s="1"/>
  <c r="AV53" i="2"/>
  <c r="AW53" i="2" s="1"/>
  <c r="AS53" i="2"/>
  <c r="AR54" i="2" s="1"/>
  <c r="F30" i="10" s="1"/>
  <c r="AK17" i="7"/>
  <c r="B55" i="7" s="1"/>
  <c r="C71" i="2" s="1"/>
  <c r="AL14" i="7"/>
  <c r="AB51" i="2" l="1"/>
  <c r="AC51" i="2" s="1"/>
  <c r="Z52" i="2"/>
  <c r="Y52" i="2" s="1"/>
  <c r="X53" i="2" s="1"/>
  <c r="E29" i="10" s="1"/>
  <c r="BI89" i="2"/>
  <c r="C47" i="10"/>
  <c r="BD47" i="2"/>
  <c r="AL17" i="7"/>
  <c r="B56" i="7" s="1"/>
  <c r="C72" i="2" s="1"/>
  <c r="AM14" i="7"/>
  <c r="P48" i="2"/>
  <c r="BA71" i="2"/>
  <c r="AQ71" i="2"/>
  <c r="M71" i="2"/>
  <c r="W71" i="2" s="1"/>
  <c r="AG71" i="2" s="1"/>
  <c r="AT54" i="2"/>
  <c r="AB52" i="2" l="1"/>
  <c r="AC52" i="2" s="1"/>
  <c r="Z53" i="2"/>
  <c r="BI90" i="2"/>
  <c r="C48" i="10"/>
  <c r="BC47" i="2"/>
  <c r="BF47" i="2"/>
  <c r="BG47" i="2" s="1"/>
  <c r="AV54" i="2"/>
  <c r="AW54" i="2" s="1"/>
  <c r="AS54" i="2"/>
  <c r="AR55" i="2" s="1"/>
  <c r="F31" i="10" s="1"/>
  <c r="AM17" i="7"/>
  <c r="B57" i="7" s="1"/>
  <c r="C73" i="2" s="1"/>
  <c r="AN14" i="7"/>
  <c r="BA72" i="2"/>
  <c r="AQ72" i="2"/>
  <c r="M72" i="2"/>
  <c r="W72" i="2" s="1"/>
  <c r="AG72" i="2" s="1"/>
  <c r="R48" i="2"/>
  <c r="S48" i="2" s="1"/>
  <c r="O48" i="2"/>
  <c r="AB53" i="2" l="1"/>
  <c r="AC53" i="2" s="1"/>
  <c r="Y53" i="2"/>
  <c r="X54" i="2" s="1"/>
  <c r="E30" i="10" s="1"/>
  <c r="BI91" i="2"/>
  <c r="C49" i="10"/>
  <c r="BB48" i="2"/>
  <c r="AQ73" i="2"/>
  <c r="BA73" i="2"/>
  <c r="M73" i="2"/>
  <c r="W73" i="2" s="1"/>
  <c r="AG73" i="2" s="1"/>
  <c r="AN17" i="7"/>
  <c r="B58" i="7" s="1"/>
  <c r="C74" i="2" s="1"/>
  <c r="AO14" i="7"/>
  <c r="N49" i="2"/>
  <c r="D25" i="10" s="1"/>
  <c r="AT55" i="2"/>
  <c r="Z54" i="2" l="1"/>
  <c r="BI92" i="2"/>
  <c r="C50" i="10"/>
  <c r="BD48" i="2"/>
  <c r="D48" i="2"/>
  <c r="AV55" i="2"/>
  <c r="AW55" i="2" s="1"/>
  <c r="AS55" i="2"/>
  <c r="AR56" i="2" s="1"/>
  <c r="F32" i="10" s="1"/>
  <c r="AO17" i="7"/>
  <c r="B59" i="7" s="1"/>
  <c r="C75" i="2" s="1"/>
  <c r="AP14" i="7"/>
  <c r="M74" i="2"/>
  <c r="W74" i="2" s="1"/>
  <c r="AG74" i="2" s="1"/>
  <c r="BA74" i="2"/>
  <c r="AQ74" i="2"/>
  <c r="P49" i="2"/>
  <c r="AB54" i="2" l="1"/>
  <c r="AC54" i="2" s="1"/>
  <c r="Y54" i="2"/>
  <c r="X55" i="2" s="1"/>
  <c r="E31" i="10" s="1"/>
  <c r="BI93" i="2"/>
  <c r="C51" i="10"/>
  <c r="BF48" i="2"/>
  <c r="BG48" i="2" s="1"/>
  <c r="BC48" i="2"/>
  <c r="F48" i="2"/>
  <c r="AQ75" i="2"/>
  <c r="M75" i="2"/>
  <c r="W75" i="2" s="1"/>
  <c r="AG75" i="2" s="1"/>
  <c r="BA75" i="2"/>
  <c r="R49" i="2"/>
  <c r="S49" i="2" s="1"/>
  <c r="O49" i="2"/>
  <c r="AT56" i="2"/>
  <c r="AP17" i="7"/>
  <c r="B60" i="7" s="1"/>
  <c r="C76" i="2" s="1"/>
  <c r="AQ14" i="7"/>
  <c r="Z55" i="2" l="1"/>
  <c r="H48" i="2"/>
  <c r="I24" i="10"/>
  <c r="BI94" i="2"/>
  <c r="C52" i="10"/>
  <c r="BB49" i="2"/>
  <c r="E48" i="2"/>
  <c r="H24" i="10" s="1"/>
  <c r="AV56" i="2"/>
  <c r="AW56" i="2" s="1"/>
  <c r="AS56" i="2"/>
  <c r="AR57" i="2" s="1"/>
  <c r="F33" i="10" s="1"/>
  <c r="AQ17" i="7"/>
  <c r="B61" i="7" s="1"/>
  <c r="C77" i="2" s="1"/>
  <c r="AR14" i="7"/>
  <c r="N50" i="2"/>
  <c r="D26" i="10" s="1"/>
  <c r="BA76" i="2"/>
  <c r="M76" i="2"/>
  <c r="W76" i="2" s="1"/>
  <c r="AG76" i="2" s="1"/>
  <c r="AQ76" i="2"/>
  <c r="Y55" i="2" l="1"/>
  <c r="X56" i="2" s="1"/>
  <c r="E32" i="10" s="1"/>
  <c r="AB55" i="2"/>
  <c r="AC55" i="2" s="1"/>
  <c r="I48" i="2"/>
  <c r="K24" i="10" s="1"/>
  <c r="J24" i="10"/>
  <c r="BI95" i="2"/>
  <c r="C53" i="10"/>
  <c r="BD49" i="2"/>
  <c r="D49" i="2"/>
  <c r="AR17" i="7"/>
  <c r="B62" i="7" s="1"/>
  <c r="C78" i="2" s="1"/>
  <c r="C54" i="10" s="1"/>
  <c r="AS14" i="7"/>
  <c r="P50" i="2"/>
  <c r="BA77" i="2"/>
  <c r="AQ77" i="2"/>
  <c r="M77" i="2"/>
  <c r="W77" i="2" s="1"/>
  <c r="AG77" i="2" s="1"/>
  <c r="AT57" i="2"/>
  <c r="Z56" i="2" l="1"/>
  <c r="BF49" i="2"/>
  <c r="BG49" i="2" s="1"/>
  <c r="BC49" i="2"/>
  <c r="F49" i="2"/>
  <c r="R50" i="2"/>
  <c r="S50" i="2" s="1"/>
  <c r="O50" i="2"/>
  <c r="AV57" i="2"/>
  <c r="AW57" i="2" s="1"/>
  <c r="AS57" i="2"/>
  <c r="AR58" i="2" s="1"/>
  <c r="F34" i="10" s="1"/>
  <c r="AS17" i="7"/>
  <c r="B63" i="7" s="1"/>
  <c r="C79" i="2" s="1"/>
  <c r="C55" i="10" s="1"/>
  <c r="AT14" i="7"/>
  <c r="M78" i="2"/>
  <c r="W78" i="2" s="1"/>
  <c r="AG78" i="2" s="1"/>
  <c r="BA78" i="2"/>
  <c r="AQ78" i="2"/>
  <c r="AB56" i="2" l="1"/>
  <c r="AC56" i="2" s="1"/>
  <c r="Y56" i="2"/>
  <c r="X57" i="2" s="1"/>
  <c r="E33" i="10" s="1"/>
  <c r="H49" i="2"/>
  <c r="I25" i="10"/>
  <c r="BI97" i="2"/>
  <c r="BB50" i="2"/>
  <c r="E49" i="2"/>
  <c r="H25" i="10" s="1"/>
  <c r="N51" i="2"/>
  <c r="D27" i="10" s="1"/>
  <c r="AQ79" i="2"/>
  <c r="BA79" i="2"/>
  <c r="M79" i="2"/>
  <c r="W79" i="2" s="1"/>
  <c r="AG79" i="2" s="1"/>
  <c r="AT58" i="2"/>
  <c r="AU14" i="7"/>
  <c r="AT17" i="7"/>
  <c r="B64" i="7" s="1"/>
  <c r="C80" i="2" s="1"/>
  <c r="Z57" i="2" l="1"/>
  <c r="I49" i="2"/>
  <c r="K25" i="10" s="1"/>
  <c r="J25" i="10"/>
  <c r="BI98" i="2"/>
  <c r="C56" i="10"/>
  <c r="BD50" i="2"/>
  <c r="D50" i="2"/>
  <c r="P51" i="2"/>
  <c r="AV58" i="2"/>
  <c r="AW58" i="2" s="1"/>
  <c r="AS58" i="2"/>
  <c r="AR59" i="2" s="1"/>
  <c r="F35" i="10" s="1"/>
  <c r="BA80" i="2"/>
  <c r="AQ80" i="2"/>
  <c r="M80" i="2"/>
  <c r="W80" i="2" s="1"/>
  <c r="AG80" i="2" s="1"/>
  <c r="AU17" i="7"/>
  <c r="B65" i="7" s="1"/>
  <c r="C81" i="2" s="1"/>
  <c r="AV14" i="7"/>
  <c r="AB57" i="2" l="1"/>
  <c r="AC57" i="2" s="1"/>
  <c r="Y57" i="2"/>
  <c r="X58" i="2" s="1"/>
  <c r="E34" i="10" s="1"/>
  <c r="BI99" i="2"/>
  <c r="C57" i="10"/>
  <c r="BC50" i="2"/>
  <c r="BF50" i="2"/>
  <c r="BG50" i="2" s="1"/>
  <c r="F50" i="2"/>
  <c r="BA81" i="2"/>
  <c r="AQ81" i="2"/>
  <c r="M81" i="2"/>
  <c r="W81" i="2" s="1"/>
  <c r="AG81" i="2" s="1"/>
  <c r="AT59" i="2"/>
  <c r="AV17" i="7"/>
  <c r="B66" i="7" s="1"/>
  <c r="C82" i="2" s="1"/>
  <c r="AW14" i="7"/>
  <c r="R51" i="2"/>
  <c r="S51" i="2" s="1"/>
  <c r="O51" i="2"/>
  <c r="Z58" i="2" l="1"/>
  <c r="H50" i="2"/>
  <c r="I26" i="10"/>
  <c r="BI100" i="2"/>
  <c r="C58" i="10"/>
  <c r="BB51" i="2"/>
  <c r="E50" i="2"/>
  <c r="H26" i="10" s="1"/>
  <c r="AV59" i="2"/>
  <c r="AW59" i="2" s="1"/>
  <c r="AS59" i="2"/>
  <c r="AR60" i="2" s="1"/>
  <c r="F36" i="10" s="1"/>
  <c r="N52" i="2"/>
  <c r="D28" i="10" s="1"/>
  <c r="AW17" i="7"/>
  <c r="B67" i="7" s="1"/>
  <c r="C83" i="2" s="1"/>
  <c r="AX14" i="7"/>
  <c r="BA82" i="2"/>
  <c r="AQ82" i="2"/>
  <c r="M82" i="2"/>
  <c r="W82" i="2" s="1"/>
  <c r="AG82" i="2" s="1"/>
  <c r="AB58" i="2" l="1"/>
  <c r="AC58" i="2" s="1"/>
  <c r="Y58" i="2"/>
  <c r="X59" i="2" s="1"/>
  <c r="E35" i="10" s="1"/>
  <c r="I50" i="2"/>
  <c r="K26" i="10" s="1"/>
  <c r="J26" i="10"/>
  <c r="BI101" i="2"/>
  <c r="C59" i="10"/>
  <c r="BD51" i="2"/>
  <c r="D51" i="2"/>
  <c r="BA83" i="2"/>
  <c r="AQ83" i="2"/>
  <c r="M83" i="2"/>
  <c r="W83" i="2" s="1"/>
  <c r="AG83" i="2" s="1"/>
  <c r="P52" i="2"/>
  <c r="AX17" i="7"/>
  <c r="B68" i="7" s="1"/>
  <c r="C84" i="2" s="1"/>
  <c r="C60" i="10" s="1"/>
  <c r="AY14" i="7"/>
  <c r="AT60" i="2"/>
  <c r="Z59" i="2" l="1"/>
  <c r="BC51" i="2"/>
  <c r="BF51" i="2"/>
  <c r="BG51" i="2" s="1"/>
  <c r="F51" i="2"/>
  <c r="AV60" i="2"/>
  <c r="AW60" i="2" s="1"/>
  <c r="AS60" i="2"/>
  <c r="AR61" i="2" s="1"/>
  <c r="F37" i="10" s="1"/>
  <c r="R52" i="2"/>
  <c r="S52" i="2" s="1"/>
  <c r="O52" i="2"/>
  <c r="AY17" i="7"/>
  <c r="B69" i="7" s="1"/>
  <c r="C85" i="2" s="1"/>
  <c r="C61" i="10" s="1"/>
  <c r="AZ14" i="7"/>
  <c r="BA84" i="2"/>
  <c r="M84" i="2"/>
  <c r="W84" i="2" s="1"/>
  <c r="AG84" i="2" s="1"/>
  <c r="AQ84" i="2"/>
  <c r="AB59" i="2" l="1"/>
  <c r="AC59" i="2" s="1"/>
  <c r="Y59" i="2"/>
  <c r="H51" i="2"/>
  <c r="I27" i="10"/>
  <c r="BB52" i="2"/>
  <c r="E51" i="2"/>
  <c r="H27" i="10" s="1"/>
  <c r="M85" i="2"/>
  <c r="W85" i="2" s="1"/>
  <c r="AG85" i="2" s="1"/>
  <c r="AQ85" i="2"/>
  <c r="BA85" i="2"/>
  <c r="AT61" i="2"/>
  <c r="N53" i="2"/>
  <c r="D29" i="10" s="1"/>
  <c r="AZ17" i="7"/>
  <c r="B70" i="7" s="1"/>
  <c r="C86" i="2" s="1"/>
  <c r="C62" i="10" s="1"/>
  <c r="BA14" i="7"/>
  <c r="Z60" i="2" l="1"/>
  <c r="I51" i="2"/>
  <c r="K27" i="10" s="1"/>
  <c r="J27" i="10"/>
  <c r="BD52" i="2"/>
  <c r="D52" i="2"/>
  <c r="AV61" i="2"/>
  <c r="AW61" i="2" s="1"/>
  <c r="AS61" i="2"/>
  <c r="AR62" i="2" s="1"/>
  <c r="F38" i="10" s="1"/>
  <c r="BA17" i="7"/>
  <c r="B71" i="7" s="1"/>
  <c r="C87" i="2" s="1"/>
  <c r="C63" i="10" s="1"/>
  <c r="BB14" i="7"/>
  <c r="BA86" i="2"/>
  <c r="M86" i="2"/>
  <c r="W86" i="2" s="1"/>
  <c r="AG86" i="2" s="1"/>
  <c r="AQ86" i="2"/>
  <c r="P53" i="2"/>
  <c r="Y60" i="2" l="1"/>
  <c r="X61" i="2" s="1"/>
  <c r="E37" i="10" s="1"/>
  <c r="AB60" i="2"/>
  <c r="AC60" i="2" s="1"/>
  <c r="BF52" i="2"/>
  <c r="BG52" i="2" s="1"/>
  <c r="BC52" i="2"/>
  <c r="F52" i="2"/>
  <c r="BC14" i="7"/>
  <c r="BB17" i="7"/>
  <c r="B72" i="7" s="1"/>
  <c r="C88" i="2" s="1"/>
  <c r="C64" i="10" s="1"/>
  <c r="R53" i="2"/>
  <c r="S53" i="2" s="1"/>
  <c r="O53" i="2"/>
  <c r="AT62" i="2"/>
  <c r="BA87" i="2"/>
  <c r="M87" i="2"/>
  <c r="W87" i="2" s="1"/>
  <c r="AG87" i="2" s="1"/>
  <c r="AQ87" i="2"/>
  <c r="Z61" i="2" l="1"/>
  <c r="H52" i="2"/>
  <c r="I28" i="10"/>
  <c r="BB53" i="2"/>
  <c r="E52" i="2"/>
  <c r="H28" i="10" s="1"/>
  <c r="BA88" i="2"/>
  <c r="AQ88" i="2"/>
  <c r="M88" i="2"/>
  <c r="W88" i="2" s="1"/>
  <c r="AG88" i="2" s="1"/>
  <c r="BC17" i="7"/>
  <c r="B73" i="7" s="1"/>
  <c r="C89" i="2" s="1"/>
  <c r="C65" i="10" s="1"/>
  <c r="BD14" i="7"/>
  <c r="AV62" i="2"/>
  <c r="AW62" i="2" s="1"/>
  <c r="AS62" i="2"/>
  <c r="AR63" i="2" s="1"/>
  <c r="F39" i="10" s="1"/>
  <c r="N54" i="2"/>
  <c r="D30" i="10" s="1"/>
  <c r="AB61" i="2" l="1"/>
  <c r="AC61" i="2" s="1"/>
  <c r="Y61" i="2"/>
  <c r="X62" i="2" s="1"/>
  <c r="E38" i="10" s="1"/>
  <c r="I52" i="2"/>
  <c r="K28" i="10" s="1"/>
  <c r="J28" i="10"/>
  <c r="BD53" i="2"/>
  <c r="D53" i="2"/>
  <c r="P54" i="2"/>
  <c r="BD17" i="7"/>
  <c r="B74" i="7" s="1"/>
  <c r="C90" i="2" s="1"/>
  <c r="BE14" i="7"/>
  <c r="AT63" i="2"/>
  <c r="BA89" i="2"/>
  <c r="AQ89" i="2"/>
  <c r="M89" i="2"/>
  <c r="W89" i="2" s="1"/>
  <c r="AG89" i="2" s="1"/>
  <c r="C66" i="10" l="1"/>
  <c r="Z62" i="2"/>
  <c r="BC53" i="2"/>
  <c r="BF53" i="2"/>
  <c r="BG53" i="2" s="1"/>
  <c r="F53" i="2"/>
  <c r="AV63" i="2"/>
  <c r="AW63" i="2" s="1"/>
  <c r="AS63" i="2"/>
  <c r="AR64" i="2" s="1"/>
  <c r="F40" i="10" s="1"/>
  <c r="BF14" i="7"/>
  <c r="BE17" i="7"/>
  <c r="B75" i="7" s="1"/>
  <c r="C91" i="2" s="1"/>
  <c r="C67" i="10" s="1"/>
  <c r="BA90" i="2"/>
  <c r="AQ90" i="2"/>
  <c r="M90" i="2"/>
  <c r="W90" i="2" s="1"/>
  <c r="AG90" i="2" s="1"/>
  <c r="R54" i="2"/>
  <c r="S54" i="2" s="1"/>
  <c r="O54" i="2"/>
  <c r="Y62" i="2" l="1"/>
  <c r="X63" i="2" s="1"/>
  <c r="E39" i="10" s="1"/>
  <c r="AB62" i="2"/>
  <c r="AC62" i="2" s="1"/>
  <c r="H53" i="2"/>
  <c r="I29" i="10"/>
  <c r="BB54" i="2"/>
  <c r="E53" i="2"/>
  <c r="H29" i="10" s="1"/>
  <c r="BA91" i="2"/>
  <c r="AQ91" i="2"/>
  <c r="M91" i="2"/>
  <c r="W91" i="2" s="1"/>
  <c r="AG91" i="2" s="1"/>
  <c r="N55" i="2"/>
  <c r="D31" i="10" s="1"/>
  <c r="BF17" i="7"/>
  <c r="B76" i="7" s="1"/>
  <c r="C92" i="2" s="1"/>
  <c r="C68" i="10" s="1"/>
  <c r="BG14" i="7"/>
  <c r="AT64" i="2"/>
  <c r="Z63" i="2" l="1"/>
  <c r="I53" i="2"/>
  <c r="K29" i="10" s="1"/>
  <c r="J29" i="10"/>
  <c r="BD54" i="2"/>
  <c r="D54" i="2"/>
  <c r="BG17" i="7"/>
  <c r="B77" i="7" s="1"/>
  <c r="C93" i="2" s="1"/>
  <c r="C69" i="10" s="1"/>
  <c r="BH14" i="7"/>
  <c r="AV64" i="2"/>
  <c r="AW64" i="2" s="1"/>
  <c r="AS64" i="2"/>
  <c r="AR65" i="2" s="1"/>
  <c r="F41" i="10" s="1"/>
  <c r="BA92" i="2"/>
  <c r="AQ92" i="2"/>
  <c r="M92" i="2"/>
  <c r="W92" i="2" s="1"/>
  <c r="AG92" i="2" s="1"/>
  <c r="P55" i="2"/>
  <c r="AB63" i="2" l="1"/>
  <c r="AC63" i="2" s="1"/>
  <c r="Y63" i="2"/>
  <c r="X64" i="2" s="1"/>
  <c r="E40" i="10" s="1"/>
  <c r="BC54" i="2"/>
  <c r="BF54" i="2"/>
  <c r="BG54" i="2" s="1"/>
  <c r="F54" i="2"/>
  <c r="BA93" i="2"/>
  <c r="M93" i="2"/>
  <c r="W93" i="2" s="1"/>
  <c r="AG93" i="2" s="1"/>
  <c r="AQ93" i="2"/>
  <c r="BH17" i="7"/>
  <c r="B78" i="7" s="1"/>
  <c r="C94" i="2" s="1"/>
  <c r="C70" i="10" s="1"/>
  <c r="BI14" i="7"/>
  <c r="R55" i="2"/>
  <c r="S55" i="2" s="1"/>
  <c r="O55" i="2"/>
  <c r="AT65" i="2"/>
  <c r="Z64" i="2" l="1"/>
  <c r="H54" i="2"/>
  <c r="I30" i="10"/>
  <c r="BB55" i="2"/>
  <c r="E54" i="2"/>
  <c r="H30" i="10" s="1"/>
  <c r="BA94" i="2"/>
  <c r="AQ94" i="2"/>
  <c r="M94" i="2"/>
  <c r="W94" i="2" s="1"/>
  <c r="AG94" i="2" s="1"/>
  <c r="AV65" i="2"/>
  <c r="AW65" i="2" s="1"/>
  <c r="AS65" i="2"/>
  <c r="AR66" i="2" s="1"/>
  <c r="F42" i="10" s="1"/>
  <c r="BI17" i="7"/>
  <c r="B79" i="7" s="1"/>
  <c r="C95" i="2" s="1"/>
  <c r="C71" i="10" s="1"/>
  <c r="BJ14" i="7"/>
  <c r="N56" i="2"/>
  <c r="D32" i="10" s="1"/>
  <c r="AB64" i="2" l="1"/>
  <c r="AC64" i="2" s="1"/>
  <c r="Y64" i="2"/>
  <c r="X65" i="2" s="1"/>
  <c r="E41" i="10" s="1"/>
  <c r="I54" i="2"/>
  <c r="K30" i="10" s="1"/>
  <c r="J30" i="10"/>
  <c r="BD55" i="2"/>
  <c r="D55" i="2"/>
  <c r="BA95" i="2"/>
  <c r="AQ95" i="2"/>
  <c r="M95" i="2"/>
  <c r="W95" i="2" s="1"/>
  <c r="AG95" i="2" s="1"/>
  <c r="P56" i="2"/>
  <c r="AT66" i="2"/>
  <c r="BJ17" i="7"/>
  <c r="B80" i="7" s="1"/>
  <c r="C96" i="2" s="1"/>
  <c r="C72" i="10" s="1"/>
  <c r="BK14" i="7"/>
  <c r="Z65" i="2" l="1"/>
  <c r="BC55" i="2"/>
  <c r="BF55" i="2"/>
  <c r="BG55" i="2" s="1"/>
  <c r="F55" i="2"/>
  <c r="BA96" i="2"/>
  <c r="M96" i="2"/>
  <c r="W96" i="2" s="1"/>
  <c r="AG96" i="2" s="1"/>
  <c r="AQ96" i="2"/>
  <c r="BK17" i="7"/>
  <c r="B81" i="7" s="1"/>
  <c r="C97" i="2" s="1"/>
  <c r="C73" i="10" s="1"/>
  <c r="BL14" i="7"/>
  <c r="AV66" i="2"/>
  <c r="AW66" i="2" s="1"/>
  <c r="AS66" i="2"/>
  <c r="AR67" i="2" s="1"/>
  <c r="F43" i="10" s="1"/>
  <c r="R56" i="2"/>
  <c r="S56" i="2" s="1"/>
  <c r="O56" i="2"/>
  <c r="AB65" i="2" l="1"/>
  <c r="AC65" i="2" s="1"/>
  <c r="Y65" i="2"/>
  <c r="X66" i="2" s="1"/>
  <c r="E42" i="10" s="1"/>
  <c r="H55" i="2"/>
  <c r="I31" i="10"/>
  <c r="BB56" i="2"/>
  <c r="E55" i="2"/>
  <c r="H31" i="10" s="1"/>
  <c r="BA97" i="2"/>
  <c r="M97" i="2"/>
  <c r="W97" i="2" s="1"/>
  <c r="AG97" i="2" s="1"/>
  <c r="AQ97" i="2"/>
  <c r="AT67" i="2"/>
  <c r="N57" i="2"/>
  <c r="D33" i="10" s="1"/>
  <c r="BL17" i="7"/>
  <c r="B82" i="7" s="1"/>
  <c r="C98" i="2" s="1"/>
  <c r="C74" i="10" s="1"/>
  <c r="BM14" i="7"/>
  <c r="Z66" i="2" l="1"/>
  <c r="I55" i="2"/>
  <c r="K31" i="10" s="1"/>
  <c r="J31" i="10"/>
  <c r="BD56" i="2"/>
  <c r="D56" i="2"/>
  <c r="BA98" i="2"/>
  <c r="AQ98" i="2"/>
  <c r="M98" i="2"/>
  <c r="W98" i="2" s="1"/>
  <c r="AG98" i="2" s="1"/>
  <c r="BM17" i="7"/>
  <c r="B83" i="7" s="1"/>
  <c r="C99" i="2" s="1"/>
  <c r="C75" i="10" s="1"/>
  <c r="BN14" i="7"/>
  <c r="P57" i="2"/>
  <c r="AV67" i="2"/>
  <c r="AW67" i="2" s="1"/>
  <c r="AS67" i="2"/>
  <c r="AR68" i="2" s="1"/>
  <c r="F44" i="10" s="1"/>
  <c r="Y66" i="2" l="1"/>
  <c r="X67" i="2" s="1"/>
  <c r="E43" i="10" s="1"/>
  <c r="AB66" i="2"/>
  <c r="AC66" i="2" s="1"/>
  <c r="BF56" i="2"/>
  <c r="BG56" i="2" s="1"/>
  <c r="BC56" i="2"/>
  <c r="F56" i="2"/>
  <c r="BA99" i="2"/>
  <c r="M99" i="2"/>
  <c r="W99" i="2" s="1"/>
  <c r="AG99" i="2" s="1"/>
  <c r="AQ99" i="2"/>
  <c r="AT68" i="2"/>
  <c r="R57" i="2"/>
  <c r="S57" i="2" s="1"/>
  <c r="O57" i="2"/>
  <c r="BN17" i="7"/>
  <c r="B84" i="7" s="1"/>
  <c r="C100" i="2" s="1"/>
  <c r="C76" i="10" s="1"/>
  <c r="BO14" i="7"/>
  <c r="Z67" i="2" l="1"/>
  <c r="H56" i="2"/>
  <c r="I32" i="10"/>
  <c r="BB57" i="2"/>
  <c r="E56" i="2"/>
  <c r="H32" i="10" s="1"/>
  <c r="BA100" i="2"/>
  <c r="M100" i="2"/>
  <c r="W100" i="2" s="1"/>
  <c r="AG100" i="2" s="1"/>
  <c r="AQ100" i="2"/>
  <c r="N58" i="2"/>
  <c r="D34" i="10" s="1"/>
  <c r="BO17" i="7"/>
  <c r="B85" i="7" s="1"/>
  <c r="C101" i="2" s="1"/>
  <c r="C77" i="10" s="1"/>
  <c r="BP14" i="7"/>
  <c r="AV68" i="2"/>
  <c r="AW68" i="2" s="1"/>
  <c r="AS68" i="2"/>
  <c r="AR69" i="2" s="1"/>
  <c r="F45" i="10" s="1"/>
  <c r="Y67" i="2" l="1"/>
  <c r="X68" i="2" s="1"/>
  <c r="E44" i="10" s="1"/>
  <c r="AB67" i="2"/>
  <c r="AC67" i="2" s="1"/>
  <c r="I56" i="2"/>
  <c r="K32" i="10" s="1"/>
  <c r="J32" i="10"/>
  <c r="BD57" i="2"/>
  <c r="D57" i="2"/>
  <c r="BA101" i="2"/>
  <c r="M101" i="2"/>
  <c r="W101" i="2" s="1"/>
  <c r="AG101" i="2" s="1"/>
  <c r="AQ101" i="2"/>
  <c r="BP17" i="7"/>
  <c r="B86" i="7" s="1"/>
  <c r="C102" i="2" s="1"/>
  <c r="C78" i="10" s="1"/>
  <c r="BQ14" i="7"/>
  <c r="P58" i="2"/>
  <c r="AT69" i="2"/>
  <c r="Z68" i="2" l="1"/>
  <c r="BC57" i="2"/>
  <c r="BF57" i="2"/>
  <c r="BG57" i="2" s="1"/>
  <c r="F57" i="2"/>
  <c r="M102" i="2"/>
  <c r="W102" i="2" s="1"/>
  <c r="AG102" i="2" s="1"/>
  <c r="AQ102" i="2"/>
  <c r="BA102" i="2"/>
  <c r="AV69" i="2"/>
  <c r="AW69" i="2" s="1"/>
  <c r="AS69" i="2"/>
  <c r="AR70" i="2" s="1"/>
  <c r="F46" i="10" s="1"/>
  <c r="BQ17" i="7"/>
  <c r="B87" i="7" s="1"/>
  <c r="C103" i="2" s="1"/>
  <c r="C79" i="10" s="1"/>
  <c r="BR14" i="7"/>
  <c r="R58" i="2"/>
  <c r="S58" i="2" s="1"/>
  <c r="O58" i="2"/>
  <c r="Y68" i="2" l="1"/>
  <c r="X69" i="2" s="1"/>
  <c r="E45" i="10" s="1"/>
  <c r="AB68" i="2"/>
  <c r="AC68" i="2" s="1"/>
  <c r="H57" i="2"/>
  <c r="I33" i="10"/>
  <c r="BB58" i="2"/>
  <c r="E57" i="2"/>
  <c r="H33" i="10" s="1"/>
  <c r="BA103" i="2"/>
  <c r="M103" i="2"/>
  <c r="W103" i="2" s="1"/>
  <c r="AG103" i="2" s="1"/>
  <c r="AQ103" i="2"/>
  <c r="BS14" i="7"/>
  <c r="BR17" i="7"/>
  <c r="B88" i="7" s="1"/>
  <c r="C104" i="2" s="1"/>
  <c r="C80" i="10" s="1"/>
  <c r="N59" i="2"/>
  <c r="D35" i="10" s="1"/>
  <c r="AT70" i="2"/>
  <c r="Z69" i="2" l="1"/>
  <c r="I57" i="2"/>
  <c r="K33" i="10" s="1"/>
  <c r="J33" i="10"/>
  <c r="BD58" i="2"/>
  <c r="D58" i="2"/>
  <c r="BA104" i="2"/>
  <c r="M104" i="2"/>
  <c r="W104" i="2" s="1"/>
  <c r="AG104" i="2" s="1"/>
  <c r="AQ104" i="2"/>
  <c r="P59" i="2"/>
  <c r="AV70" i="2"/>
  <c r="AW70" i="2" s="1"/>
  <c r="AS70" i="2"/>
  <c r="AR71" i="2" s="1"/>
  <c r="F47" i="10" s="1"/>
  <c r="BS17" i="7"/>
  <c r="B89" i="7" s="1"/>
  <c r="C105" i="2" s="1"/>
  <c r="C81" i="10" s="1"/>
  <c r="BT14" i="7"/>
  <c r="AB69" i="2" l="1"/>
  <c r="AC69" i="2" s="1"/>
  <c r="Y69" i="2"/>
  <c r="X70" i="2" s="1"/>
  <c r="E46" i="10" s="1"/>
  <c r="BF58" i="2"/>
  <c r="BG58" i="2" s="1"/>
  <c r="BC58" i="2"/>
  <c r="F58" i="2"/>
  <c r="BA105" i="2"/>
  <c r="M105" i="2"/>
  <c r="W105" i="2" s="1"/>
  <c r="AG105" i="2" s="1"/>
  <c r="AQ105" i="2"/>
  <c r="BT17" i="7"/>
  <c r="B90" i="7" s="1"/>
  <c r="C106" i="2" s="1"/>
  <c r="C82" i="10" s="1"/>
  <c r="BU14" i="7"/>
  <c r="BU17" i="7" s="1"/>
  <c r="B91" i="7" s="1"/>
  <c r="C107" i="2" s="1"/>
  <c r="C83" i="10" s="1"/>
  <c r="AT71" i="2"/>
  <c r="R59" i="2"/>
  <c r="S59" i="2" s="1"/>
  <c r="O59" i="2"/>
  <c r="Z70" i="2" l="1"/>
  <c r="H58" i="2"/>
  <c r="I34" i="10"/>
  <c r="BB59" i="2"/>
  <c r="E58" i="2"/>
  <c r="H34" i="10" s="1"/>
  <c r="BA107" i="2"/>
  <c r="M107" i="2"/>
  <c r="W107" i="2" s="1"/>
  <c r="AG107" i="2" s="1"/>
  <c r="AQ107" i="2"/>
  <c r="BA106" i="2"/>
  <c r="M106" i="2"/>
  <c r="W106" i="2" s="1"/>
  <c r="AG106" i="2" s="1"/>
  <c r="AQ106" i="2"/>
  <c r="AV71" i="2"/>
  <c r="AW71" i="2" s="1"/>
  <c r="AS71" i="2"/>
  <c r="AR72" i="2" s="1"/>
  <c r="F48" i="10" s="1"/>
  <c r="N60" i="2"/>
  <c r="D36" i="10" s="1"/>
  <c r="AB70" i="2" l="1"/>
  <c r="AC70" i="2" s="1"/>
  <c r="Y70" i="2"/>
  <c r="X71" i="2" s="1"/>
  <c r="E47" i="10" s="1"/>
  <c r="I58" i="2"/>
  <c r="K34" i="10" s="1"/>
  <c r="J34" i="10"/>
  <c r="BD59" i="2"/>
  <c r="D59" i="2"/>
  <c r="P60" i="2"/>
  <c r="AT72" i="2"/>
  <c r="Z71" i="2" l="1"/>
  <c r="BF59" i="2"/>
  <c r="BG59" i="2" s="1"/>
  <c r="BC59" i="2"/>
  <c r="F59" i="2"/>
  <c r="AV72" i="2"/>
  <c r="AW72" i="2" s="1"/>
  <c r="AS72" i="2"/>
  <c r="AR73" i="2" s="1"/>
  <c r="F49" i="10" s="1"/>
  <c r="R60" i="2"/>
  <c r="S60" i="2" s="1"/>
  <c r="O60" i="2"/>
  <c r="Y71" i="2" l="1"/>
  <c r="AB71" i="2"/>
  <c r="AC71" i="2" s="1"/>
  <c r="H59" i="2"/>
  <c r="I35" i="10"/>
  <c r="BB60" i="2"/>
  <c r="E59" i="2"/>
  <c r="H35" i="10" s="1"/>
  <c r="AT73" i="2"/>
  <c r="N61" i="2"/>
  <c r="D37" i="10" s="1"/>
  <c r="Z72" i="2" l="1"/>
  <c r="I59" i="2"/>
  <c r="K35" i="10" s="1"/>
  <c r="J35" i="10"/>
  <c r="BD60" i="2"/>
  <c r="D60" i="2"/>
  <c r="AV73" i="2"/>
  <c r="AW73" i="2" s="1"/>
  <c r="AS73" i="2"/>
  <c r="AR74" i="2" s="1"/>
  <c r="F50" i="10" s="1"/>
  <c r="P61" i="2"/>
  <c r="Y72" i="2" l="1"/>
  <c r="X73" i="2" s="1"/>
  <c r="E49" i="10" s="1"/>
  <c r="AB72" i="2"/>
  <c r="AC72" i="2" s="1"/>
  <c r="BC60" i="2"/>
  <c r="BF60" i="2"/>
  <c r="BG60" i="2" s="1"/>
  <c r="F60" i="2"/>
  <c r="AT74" i="2"/>
  <c r="R61" i="2"/>
  <c r="S61" i="2" s="1"/>
  <c r="O61" i="2"/>
  <c r="Z73" i="2" l="1"/>
  <c r="H60" i="2"/>
  <c r="I36" i="10"/>
  <c r="BB61" i="2"/>
  <c r="E60" i="2"/>
  <c r="H36" i="10" s="1"/>
  <c r="N62" i="2"/>
  <c r="D38" i="10" s="1"/>
  <c r="AV74" i="2"/>
  <c r="AW74" i="2" s="1"/>
  <c r="AS74" i="2"/>
  <c r="AR75" i="2" s="1"/>
  <c r="F51" i="10" s="1"/>
  <c r="AB73" i="2" l="1"/>
  <c r="AC73" i="2" s="1"/>
  <c r="Y73" i="2"/>
  <c r="X74" i="2" s="1"/>
  <c r="E50" i="10" s="1"/>
  <c r="I60" i="2"/>
  <c r="K36" i="10" s="1"/>
  <c r="J36" i="10"/>
  <c r="BD61" i="2"/>
  <c r="D61" i="2"/>
  <c r="P62" i="2"/>
  <c r="AT75" i="2"/>
  <c r="Z74" i="2" l="1"/>
  <c r="BF61" i="2"/>
  <c r="BG61" i="2" s="1"/>
  <c r="BC61" i="2"/>
  <c r="F61" i="2"/>
  <c r="AV75" i="2"/>
  <c r="AW75" i="2" s="1"/>
  <c r="AS75" i="2"/>
  <c r="AR76" i="2" s="1"/>
  <c r="F52" i="10" s="1"/>
  <c r="R62" i="2"/>
  <c r="S62" i="2" s="1"/>
  <c r="O62" i="2"/>
  <c r="AB74" i="2" l="1"/>
  <c r="AC74" i="2" s="1"/>
  <c r="Y74" i="2"/>
  <c r="X75" i="2" s="1"/>
  <c r="E51" i="10" s="1"/>
  <c r="H61" i="2"/>
  <c r="I37" i="10"/>
  <c r="BB62" i="2"/>
  <c r="E61" i="2"/>
  <c r="H37" i="10" s="1"/>
  <c r="AT76" i="2"/>
  <c r="N63" i="2"/>
  <c r="D39" i="10" s="1"/>
  <c r="Z75" i="2" l="1"/>
  <c r="I61" i="2"/>
  <c r="K37" i="10" s="1"/>
  <c r="J37" i="10"/>
  <c r="BD62" i="2"/>
  <c r="D62" i="2"/>
  <c r="AV76" i="2"/>
  <c r="AW76" i="2" s="1"/>
  <c r="AS76" i="2"/>
  <c r="AR77" i="2" s="1"/>
  <c r="F53" i="10" s="1"/>
  <c r="P63" i="2"/>
  <c r="Y75" i="2" l="1"/>
  <c r="X76" i="2" s="1"/>
  <c r="E52" i="10" s="1"/>
  <c r="AB75" i="2"/>
  <c r="AC75" i="2" s="1"/>
  <c r="BF62" i="2"/>
  <c r="BG62" i="2" s="1"/>
  <c r="BC62" i="2"/>
  <c r="F62" i="2"/>
  <c r="R63" i="2"/>
  <c r="S63" i="2" s="1"/>
  <c r="O63" i="2"/>
  <c r="AT77" i="2"/>
  <c r="Z76" i="2" l="1"/>
  <c r="H62" i="2"/>
  <c r="I38" i="10"/>
  <c r="BB63" i="2"/>
  <c r="E62" i="2"/>
  <c r="H38" i="10" s="1"/>
  <c r="N64" i="2"/>
  <c r="D40" i="10" s="1"/>
  <c r="AV77" i="2"/>
  <c r="AW77" i="2" s="1"/>
  <c r="AS77" i="2"/>
  <c r="AR78" i="2" s="1"/>
  <c r="F54" i="10" s="1"/>
  <c r="Y76" i="2" l="1"/>
  <c r="X77" i="2" s="1"/>
  <c r="E53" i="10" s="1"/>
  <c r="AB76" i="2"/>
  <c r="AC76" i="2" s="1"/>
  <c r="I62" i="2"/>
  <c r="K38" i="10" s="1"/>
  <c r="J38" i="10"/>
  <c r="BD63" i="2"/>
  <c r="D63" i="2"/>
  <c r="P64" i="2"/>
  <c r="AT78" i="2"/>
  <c r="Z77" i="2" l="1"/>
  <c r="BF63" i="2"/>
  <c r="BG63" i="2" s="1"/>
  <c r="BC63" i="2"/>
  <c r="F63" i="2"/>
  <c r="AV78" i="2"/>
  <c r="AW78" i="2" s="1"/>
  <c r="AS78" i="2"/>
  <c r="AR79" i="2" s="1"/>
  <c r="F55" i="10" s="1"/>
  <c r="R64" i="2"/>
  <c r="S64" i="2" s="1"/>
  <c r="O64" i="2"/>
  <c r="AB77" i="2" l="1"/>
  <c r="AC77" i="2" s="1"/>
  <c r="Y77" i="2"/>
  <c r="X78" i="2" s="1"/>
  <c r="E54" i="10" s="1"/>
  <c r="H63" i="2"/>
  <c r="I39" i="10"/>
  <c r="BB64" i="2"/>
  <c r="E63" i="2"/>
  <c r="H39" i="10" s="1"/>
  <c r="AT79" i="2"/>
  <c r="N65" i="2"/>
  <c r="D41" i="10" s="1"/>
  <c r="Z78" i="2" l="1"/>
  <c r="I63" i="2"/>
  <c r="K39" i="10" s="1"/>
  <c r="J39" i="10"/>
  <c r="BD64" i="2"/>
  <c r="D64" i="2"/>
  <c r="AV79" i="2"/>
  <c r="AW79" i="2" s="1"/>
  <c r="AS79" i="2"/>
  <c r="AR80" i="2" s="1"/>
  <c r="F56" i="10" s="1"/>
  <c r="P65" i="2"/>
  <c r="AB78" i="2" l="1"/>
  <c r="AC78" i="2" s="1"/>
  <c r="Y78" i="2"/>
  <c r="X79" i="2" s="1"/>
  <c r="E55" i="10" s="1"/>
  <c r="BF64" i="2"/>
  <c r="BG64" i="2" s="1"/>
  <c r="BC64" i="2"/>
  <c r="F64" i="2"/>
  <c r="R65" i="2"/>
  <c r="S65" i="2" s="1"/>
  <c r="O65" i="2"/>
  <c r="AT80" i="2"/>
  <c r="Z79" i="2" l="1"/>
  <c r="H64" i="2"/>
  <c r="I40" i="10"/>
  <c r="BB65" i="2"/>
  <c r="E64" i="2"/>
  <c r="H40" i="10" s="1"/>
  <c r="N66" i="2"/>
  <c r="D42" i="10" s="1"/>
  <c r="AV80" i="2"/>
  <c r="AW80" i="2" s="1"/>
  <c r="AS80" i="2"/>
  <c r="AR81" i="2" s="1"/>
  <c r="F57" i="10" s="1"/>
  <c r="AB79" i="2" l="1"/>
  <c r="AC79" i="2" s="1"/>
  <c r="Y79" i="2"/>
  <c r="X80" i="2" s="1"/>
  <c r="E56" i="10" s="1"/>
  <c r="I64" i="2"/>
  <c r="K40" i="10" s="1"/>
  <c r="J40" i="10"/>
  <c r="BD65" i="2"/>
  <c r="D65" i="2"/>
  <c r="AT81" i="2"/>
  <c r="P66" i="2"/>
  <c r="Z80" i="2" l="1"/>
  <c r="BC65" i="2"/>
  <c r="BF65" i="2"/>
  <c r="BG65" i="2" s="1"/>
  <c r="F65" i="2"/>
  <c r="AV81" i="2"/>
  <c r="AW81" i="2" s="1"/>
  <c r="AS81" i="2"/>
  <c r="AR82" i="2" s="1"/>
  <c r="F58" i="10" s="1"/>
  <c r="R66" i="2"/>
  <c r="S66" i="2" s="1"/>
  <c r="O66" i="2"/>
  <c r="Y80" i="2" l="1"/>
  <c r="X81" i="2" s="1"/>
  <c r="E57" i="10" s="1"/>
  <c r="AB80" i="2"/>
  <c r="AC80" i="2" s="1"/>
  <c r="H65" i="2"/>
  <c r="I41" i="10"/>
  <c r="BB66" i="2"/>
  <c r="E65" i="2"/>
  <c r="H41" i="10" s="1"/>
  <c r="N67" i="2"/>
  <c r="D43" i="10" s="1"/>
  <c r="AT82" i="2"/>
  <c r="Z81" i="2" l="1"/>
  <c r="I65" i="2"/>
  <c r="K41" i="10" s="1"/>
  <c r="J41" i="10"/>
  <c r="BD66" i="2"/>
  <c r="D66" i="2"/>
  <c r="P67" i="2"/>
  <c r="AV82" i="2"/>
  <c r="AW82" i="2" s="1"/>
  <c r="AS82" i="2"/>
  <c r="AR83" i="2" s="1"/>
  <c r="F59" i="10" s="1"/>
  <c r="AB81" i="2" l="1"/>
  <c r="AC81" i="2" s="1"/>
  <c r="Y81" i="2"/>
  <c r="X82" i="2" s="1"/>
  <c r="E58" i="10" s="1"/>
  <c r="BC66" i="2"/>
  <c r="BF66" i="2"/>
  <c r="BG66" i="2" s="1"/>
  <c r="F66" i="2"/>
  <c r="R67" i="2"/>
  <c r="S67" i="2" s="1"/>
  <c r="O67" i="2"/>
  <c r="AT83" i="2"/>
  <c r="Z82" i="2" l="1"/>
  <c r="H66" i="2"/>
  <c r="I42" i="10"/>
  <c r="BB67" i="2"/>
  <c r="E66" i="2"/>
  <c r="H42" i="10" s="1"/>
  <c r="AV83" i="2"/>
  <c r="AW83" i="2" s="1"/>
  <c r="AS83" i="2"/>
  <c r="AR84" i="2" s="1"/>
  <c r="F60" i="10" s="1"/>
  <c r="N68" i="2"/>
  <c r="D44" i="10" s="1"/>
  <c r="Y82" i="2" l="1"/>
  <c r="X83" i="2" s="1"/>
  <c r="E59" i="10" s="1"/>
  <c r="AB82" i="2"/>
  <c r="AC82" i="2" s="1"/>
  <c r="I66" i="2"/>
  <c r="K42" i="10" s="1"/>
  <c r="J42" i="10"/>
  <c r="BD67" i="2"/>
  <c r="D67" i="2"/>
  <c r="P68" i="2"/>
  <c r="AT84" i="2"/>
  <c r="Z83" i="2" l="1"/>
  <c r="BF67" i="2"/>
  <c r="BG67" i="2" s="1"/>
  <c r="BC67" i="2"/>
  <c r="F67" i="2"/>
  <c r="R68" i="2"/>
  <c r="S68" i="2" s="1"/>
  <c r="O68" i="2"/>
  <c r="AV84" i="2"/>
  <c r="AW84" i="2" s="1"/>
  <c r="AS84" i="2"/>
  <c r="AR85" i="2" s="1"/>
  <c r="F61" i="10" s="1"/>
  <c r="AB83" i="2" l="1"/>
  <c r="AC83" i="2" s="1"/>
  <c r="Y83" i="2"/>
  <c r="H67" i="2"/>
  <c r="I43" i="10"/>
  <c r="BB68" i="2"/>
  <c r="E67" i="2"/>
  <c r="H43" i="10" s="1"/>
  <c r="N69" i="2"/>
  <c r="D45" i="10" s="1"/>
  <c r="AT85" i="2"/>
  <c r="Z84" i="2" l="1"/>
  <c r="I67" i="2"/>
  <c r="K43" i="10" s="1"/>
  <c r="J43" i="10"/>
  <c r="BD68" i="2"/>
  <c r="D68" i="2"/>
  <c r="AV85" i="2"/>
  <c r="AW85" i="2" s="1"/>
  <c r="AS85" i="2"/>
  <c r="AR86" i="2" s="1"/>
  <c r="F62" i="10" s="1"/>
  <c r="P69" i="2"/>
  <c r="AB84" i="2" l="1"/>
  <c r="AC84" i="2" s="1"/>
  <c r="Y84" i="2"/>
  <c r="X85" i="2" s="1"/>
  <c r="E61" i="10" s="1"/>
  <c r="BC68" i="2"/>
  <c r="BF68" i="2"/>
  <c r="BG68" i="2" s="1"/>
  <c r="F68" i="2"/>
  <c r="AT86" i="2"/>
  <c r="R69" i="2"/>
  <c r="S69" i="2" s="1"/>
  <c r="O69" i="2"/>
  <c r="Z85" i="2" l="1"/>
  <c r="H68" i="2"/>
  <c r="I44" i="10"/>
  <c r="BB69" i="2"/>
  <c r="E68" i="2"/>
  <c r="H44" i="10" s="1"/>
  <c r="AV86" i="2"/>
  <c r="AW86" i="2" s="1"/>
  <c r="AS86" i="2"/>
  <c r="AR87" i="2" s="1"/>
  <c r="F63" i="10" s="1"/>
  <c r="N70" i="2"/>
  <c r="D46" i="10" s="1"/>
  <c r="Y85" i="2" l="1"/>
  <c r="X86" i="2" s="1"/>
  <c r="E62" i="10" s="1"/>
  <c r="AB85" i="2"/>
  <c r="AC85" i="2" s="1"/>
  <c r="I68" i="2"/>
  <c r="K44" i="10" s="1"/>
  <c r="J44" i="10"/>
  <c r="BD69" i="2"/>
  <c r="D69" i="2"/>
  <c r="AT87" i="2"/>
  <c r="P70" i="2"/>
  <c r="Z86" i="2" l="1"/>
  <c r="BF69" i="2"/>
  <c r="BG69" i="2" s="1"/>
  <c r="BC69" i="2"/>
  <c r="F69" i="2"/>
  <c r="AV87" i="2"/>
  <c r="AW87" i="2" s="1"/>
  <c r="AS87" i="2"/>
  <c r="AR88" i="2" s="1"/>
  <c r="F64" i="10" s="1"/>
  <c r="R70" i="2"/>
  <c r="S70" i="2" s="1"/>
  <c r="O70" i="2"/>
  <c r="AB86" i="2" l="1"/>
  <c r="AC86" i="2" s="1"/>
  <c r="Y86" i="2"/>
  <c r="X87" i="2" s="1"/>
  <c r="E63" i="10" s="1"/>
  <c r="H69" i="2"/>
  <c r="I45" i="10"/>
  <c r="BB70" i="2"/>
  <c r="E69" i="2"/>
  <c r="H45" i="10" s="1"/>
  <c r="N71" i="2"/>
  <c r="D47" i="10" s="1"/>
  <c r="AT88" i="2"/>
  <c r="Z87" i="2" l="1"/>
  <c r="I69" i="2"/>
  <c r="K45" i="10" s="1"/>
  <c r="J45" i="10"/>
  <c r="BD70" i="2"/>
  <c r="D70" i="2"/>
  <c r="AV88" i="2"/>
  <c r="AW88" i="2" s="1"/>
  <c r="AS88" i="2"/>
  <c r="AR89" i="2" s="1"/>
  <c r="F65" i="10" s="1"/>
  <c r="P71" i="2"/>
  <c r="Y87" i="2" l="1"/>
  <c r="X88" i="2" s="1"/>
  <c r="E64" i="10" s="1"/>
  <c r="AB87" i="2"/>
  <c r="AC87" i="2" s="1"/>
  <c r="BF70" i="2"/>
  <c r="BG70" i="2" s="1"/>
  <c r="BC70" i="2"/>
  <c r="F70" i="2"/>
  <c r="AT89" i="2"/>
  <c r="R71" i="2"/>
  <c r="S71" i="2" s="1"/>
  <c r="O71" i="2"/>
  <c r="Z88" i="2" l="1"/>
  <c r="H70" i="2"/>
  <c r="I46" i="10"/>
  <c r="BB71" i="2"/>
  <c r="E70" i="2"/>
  <c r="H46" i="10" s="1"/>
  <c r="AV89" i="2"/>
  <c r="AW89" i="2" s="1"/>
  <c r="AS89" i="2"/>
  <c r="AR90" i="2" s="1"/>
  <c r="F66" i="10" s="1"/>
  <c r="N72" i="2"/>
  <c r="D48" i="10" s="1"/>
  <c r="Y88" i="2" l="1"/>
  <c r="X89" i="2" s="1"/>
  <c r="E65" i="10" s="1"/>
  <c r="AB88" i="2"/>
  <c r="AC88" i="2" s="1"/>
  <c r="I70" i="2"/>
  <c r="K46" i="10" s="1"/>
  <c r="J46" i="10"/>
  <c r="BD71" i="2"/>
  <c r="D71" i="2"/>
  <c r="P72" i="2"/>
  <c r="AT90" i="2"/>
  <c r="Z89" i="2" l="1"/>
  <c r="BC71" i="2"/>
  <c r="BF71" i="2"/>
  <c r="BG71" i="2" s="1"/>
  <c r="F71" i="2"/>
  <c r="AV90" i="2"/>
  <c r="AW90" i="2" s="1"/>
  <c r="AS90" i="2"/>
  <c r="AR91" i="2" s="1"/>
  <c r="F67" i="10" s="1"/>
  <c r="R72" i="2"/>
  <c r="S72" i="2" s="1"/>
  <c r="O72" i="2"/>
  <c r="AB89" i="2" l="1"/>
  <c r="AC89" i="2" s="1"/>
  <c r="Y89" i="2"/>
  <c r="X90" i="2" s="1"/>
  <c r="E66" i="10" s="1"/>
  <c r="H71" i="2"/>
  <c r="I47" i="10"/>
  <c r="BB72" i="2"/>
  <c r="E71" i="2"/>
  <c r="H47" i="10" s="1"/>
  <c r="N73" i="2"/>
  <c r="D49" i="10" s="1"/>
  <c r="AT91" i="2"/>
  <c r="Z90" i="2" l="1"/>
  <c r="I71" i="2"/>
  <c r="K47" i="10" s="1"/>
  <c r="J47" i="10"/>
  <c r="BD72" i="2"/>
  <c r="D72" i="2"/>
  <c r="AV91" i="2"/>
  <c r="AW91" i="2" s="1"/>
  <c r="AS91" i="2"/>
  <c r="AR92" i="2" s="1"/>
  <c r="F68" i="10" s="1"/>
  <c r="P73" i="2"/>
  <c r="AB90" i="2" l="1"/>
  <c r="AC90" i="2" s="1"/>
  <c r="Y90" i="2"/>
  <c r="X91" i="2" s="1"/>
  <c r="E67" i="10" s="1"/>
  <c r="BF72" i="2"/>
  <c r="BG72" i="2" s="1"/>
  <c r="BC72" i="2"/>
  <c r="F72" i="2"/>
  <c r="R73" i="2"/>
  <c r="S73" i="2" s="1"/>
  <c r="O73" i="2"/>
  <c r="AT92" i="2"/>
  <c r="Z91" i="2" l="1"/>
  <c r="H72" i="2"/>
  <c r="I48" i="10"/>
  <c r="BB73" i="2"/>
  <c r="E72" i="2"/>
  <c r="H48" i="10" s="1"/>
  <c r="AV92" i="2"/>
  <c r="AW92" i="2" s="1"/>
  <c r="AS92" i="2"/>
  <c r="AR93" i="2" s="1"/>
  <c r="F69" i="10" s="1"/>
  <c r="N74" i="2"/>
  <c r="D50" i="10" s="1"/>
  <c r="AB91" i="2" l="1"/>
  <c r="AC91" i="2" s="1"/>
  <c r="Y91" i="2"/>
  <c r="X92" i="2" s="1"/>
  <c r="E68" i="10" s="1"/>
  <c r="I72" i="2"/>
  <c r="K48" i="10" s="1"/>
  <c r="J48" i="10"/>
  <c r="BD73" i="2"/>
  <c r="D73" i="2"/>
  <c r="P74" i="2"/>
  <c r="AT93" i="2"/>
  <c r="Z92" i="2" l="1"/>
  <c r="BF73" i="2"/>
  <c r="BG73" i="2" s="1"/>
  <c r="BC73" i="2"/>
  <c r="F73" i="2"/>
  <c r="AV93" i="2"/>
  <c r="AW93" i="2" s="1"/>
  <c r="AS93" i="2"/>
  <c r="AR94" i="2" s="1"/>
  <c r="F70" i="10" s="1"/>
  <c r="R74" i="2"/>
  <c r="S74" i="2" s="1"/>
  <c r="O74" i="2"/>
  <c r="Y92" i="2" l="1"/>
  <c r="X93" i="2" s="1"/>
  <c r="E69" i="10" s="1"/>
  <c r="AB92" i="2"/>
  <c r="AC92" i="2" s="1"/>
  <c r="H73" i="2"/>
  <c r="I49" i="10"/>
  <c r="BB74" i="2"/>
  <c r="E73" i="2"/>
  <c r="H49" i="10" s="1"/>
  <c r="N75" i="2"/>
  <c r="D51" i="10" s="1"/>
  <c r="AT94" i="2"/>
  <c r="Z93" i="2" l="1"/>
  <c r="I73" i="2"/>
  <c r="K49" i="10" s="1"/>
  <c r="J49" i="10"/>
  <c r="BD74" i="2"/>
  <c r="D74" i="2"/>
  <c r="AV94" i="2"/>
  <c r="AW94" i="2" s="1"/>
  <c r="AS94" i="2"/>
  <c r="AR95" i="2" s="1"/>
  <c r="F71" i="10" s="1"/>
  <c r="P75" i="2"/>
  <c r="Y93" i="2" l="1"/>
  <c r="X94" i="2" s="1"/>
  <c r="E70" i="10" s="1"/>
  <c r="AB93" i="2"/>
  <c r="AC93" i="2" s="1"/>
  <c r="BF74" i="2"/>
  <c r="BG74" i="2" s="1"/>
  <c r="BC74" i="2"/>
  <c r="F74" i="2"/>
  <c r="AT95" i="2"/>
  <c r="AV95" i="2" s="1"/>
  <c r="AW95" i="2" s="1"/>
  <c r="R75" i="2"/>
  <c r="S75" i="2" s="1"/>
  <c r="O75" i="2"/>
  <c r="Z94" i="2" l="1"/>
  <c r="H74" i="2"/>
  <c r="I50" i="10"/>
  <c r="BB75" i="2"/>
  <c r="E74" i="2"/>
  <c r="H50" i="10" s="1"/>
  <c r="AS95" i="2"/>
  <c r="AR96" i="2" s="1"/>
  <c r="N76" i="2"/>
  <c r="D52" i="10" s="1"/>
  <c r="AB94" i="2" l="1"/>
  <c r="AC94" i="2" s="1"/>
  <c r="Y94" i="2"/>
  <c r="X95" i="2" s="1"/>
  <c r="E71" i="10" s="1"/>
  <c r="AT96" i="2"/>
  <c r="AS96" i="2" s="1"/>
  <c r="AR97" i="2" s="1"/>
  <c r="F73" i="10" s="1"/>
  <c r="F72" i="10"/>
  <c r="I74" i="2"/>
  <c r="K50" i="10" s="1"/>
  <c r="J50" i="10"/>
  <c r="BD75" i="2"/>
  <c r="D75" i="2"/>
  <c r="P76" i="2"/>
  <c r="AV96" i="2" l="1"/>
  <c r="AW96" i="2" s="1"/>
  <c r="Z95" i="2"/>
  <c r="BF75" i="2"/>
  <c r="BG75" i="2" s="1"/>
  <c r="BC75" i="2"/>
  <c r="F75" i="2"/>
  <c r="AT97" i="2"/>
  <c r="R76" i="2"/>
  <c r="S76" i="2" s="1"/>
  <c r="O76" i="2"/>
  <c r="AB95" i="2" l="1"/>
  <c r="AC95" i="2" s="1"/>
  <c r="Y95" i="2"/>
  <c r="H75" i="2"/>
  <c r="I51" i="10"/>
  <c r="BB76" i="2"/>
  <c r="E75" i="2"/>
  <c r="H51" i="10" s="1"/>
  <c r="AS97" i="2"/>
  <c r="AR98" i="2" s="1"/>
  <c r="F74" i="10" s="1"/>
  <c r="AV97" i="2"/>
  <c r="AW97" i="2" s="1"/>
  <c r="N77" i="2"/>
  <c r="D53" i="10" s="1"/>
  <c r="Z96" i="2" l="1"/>
  <c r="I75" i="2"/>
  <c r="K51" i="10" s="1"/>
  <c r="J51" i="10"/>
  <c r="BD76" i="2"/>
  <c r="D76" i="2"/>
  <c r="AT98" i="2"/>
  <c r="P77" i="2"/>
  <c r="Y96" i="2" l="1"/>
  <c r="X97" i="2" s="1"/>
  <c r="E73" i="10" s="1"/>
  <c r="AB96" i="2"/>
  <c r="AC96" i="2" s="1"/>
  <c r="BC76" i="2"/>
  <c r="BF76" i="2"/>
  <c r="BG76" i="2" s="1"/>
  <c r="F76" i="2"/>
  <c r="AS98" i="2"/>
  <c r="AR99" i="2" s="1"/>
  <c r="F75" i="10" s="1"/>
  <c r="AV98" i="2"/>
  <c r="AW98" i="2" s="1"/>
  <c r="R77" i="2"/>
  <c r="S77" i="2" s="1"/>
  <c r="O77" i="2"/>
  <c r="Z97" i="2" l="1"/>
  <c r="H76" i="2"/>
  <c r="I52" i="10"/>
  <c r="BB77" i="2"/>
  <c r="E76" i="2"/>
  <c r="H52" i="10" s="1"/>
  <c r="AT99" i="2"/>
  <c r="N78" i="2"/>
  <c r="D54" i="10" s="1"/>
  <c r="AB97" i="2" l="1"/>
  <c r="AC97" i="2" s="1"/>
  <c r="Y97" i="2"/>
  <c r="X98" i="2" s="1"/>
  <c r="I76" i="2"/>
  <c r="K52" i="10" s="1"/>
  <c r="J52" i="10"/>
  <c r="BD77" i="2"/>
  <c r="D77" i="2"/>
  <c r="AS99" i="2"/>
  <c r="AR100" i="2" s="1"/>
  <c r="F76" i="10" s="1"/>
  <c r="AV99" i="2"/>
  <c r="AW99" i="2" s="1"/>
  <c r="P78" i="2"/>
  <c r="E74" i="10" l="1"/>
  <c r="Z98" i="2"/>
  <c r="BC77" i="2"/>
  <c r="BF77" i="2"/>
  <c r="BG77" i="2" s="1"/>
  <c r="F77" i="2"/>
  <c r="AT100" i="2"/>
  <c r="R78" i="2"/>
  <c r="S78" i="2" s="1"/>
  <c r="O78" i="2"/>
  <c r="AB98" i="2" l="1"/>
  <c r="AC98" i="2" s="1"/>
  <c r="Y98" i="2"/>
  <c r="X99" i="2" s="1"/>
  <c r="H77" i="2"/>
  <c r="I53" i="10"/>
  <c r="BB78" i="2"/>
  <c r="E77" i="2"/>
  <c r="H53" i="10" s="1"/>
  <c r="AV100" i="2"/>
  <c r="AW100" i="2" s="1"/>
  <c r="AS100" i="2"/>
  <c r="AR101" i="2" s="1"/>
  <c r="F77" i="10" s="1"/>
  <c r="N79" i="2"/>
  <c r="D55" i="10" s="1"/>
  <c r="E75" i="10" l="1"/>
  <c r="Z99" i="2"/>
  <c r="I77" i="2"/>
  <c r="K53" i="10" s="1"/>
  <c r="J53" i="10"/>
  <c r="BD78" i="2"/>
  <c r="D78" i="2"/>
  <c r="AT101" i="2"/>
  <c r="P79" i="2"/>
  <c r="AB99" i="2" l="1"/>
  <c r="AC99" i="2" s="1"/>
  <c r="Y99" i="2"/>
  <c r="X100" i="2" s="1"/>
  <c r="BF78" i="2"/>
  <c r="BG78" i="2" s="1"/>
  <c r="BC78" i="2"/>
  <c r="F78" i="2"/>
  <c r="AV101" i="2"/>
  <c r="AW101" i="2" s="1"/>
  <c r="AS101" i="2"/>
  <c r="AR102" i="2" s="1"/>
  <c r="F78" i="10" s="1"/>
  <c r="R79" i="2"/>
  <c r="S79" i="2" s="1"/>
  <c r="O79" i="2"/>
  <c r="E76" i="10" l="1"/>
  <c r="Z100" i="2"/>
  <c r="H78" i="2"/>
  <c r="I54" i="10"/>
  <c r="BB79" i="2"/>
  <c r="E78" i="2"/>
  <c r="H54" i="10" s="1"/>
  <c r="AT102" i="2"/>
  <c r="N80" i="2"/>
  <c r="D56" i="10" s="1"/>
  <c r="AB100" i="2" l="1"/>
  <c r="AC100" i="2" s="1"/>
  <c r="Y100" i="2"/>
  <c r="X101" i="2" s="1"/>
  <c r="I78" i="2"/>
  <c r="K54" i="10" s="1"/>
  <c r="J54" i="10"/>
  <c r="BD79" i="2"/>
  <c r="D79" i="2"/>
  <c r="AV102" i="2"/>
  <c r="AW102" i="2" s="1"/>
  <c r="AS102" i="2"/>
  <c r="AR103" i="2" s="1"/>
  <c r="F79" i="10" s="1"/>
  <c r="P80" i="2"/>
  <c r="E77" i="10" l="1"/>
  <c r="Z101" i="2"/>
  <c r="BC79" i="2"/>
  <c r="BF79" i="2"/>
  <c r="BG79" i="2" s="1"/>
  <c r="F79" i="2"/>
  <c r="AT103" i="2"/>
  <c r="R80" i="2"/>
  <c r="S80" i="2" s="1"/>
  <c r="O80" i="2"/>
  <c r="AB101" i="2" l="1"/>
  <c r="AC101" i="2" s="1"/>
  <c r="Y101" i="2"/>
  <c r="X102" i="2" s="1"/>
  <c r="H79" i="2"/>
  <c r="I55" i="10"/>
  <c r="BB80" i="2"/>
  <c r="E79" i="2"/>
  <c r="H55" i="10" s="1"/>
  <c r="AS103" i="2"/>
  <c r="AR104" i="2" s="1"/>
  <c r="F80" i="10" s="1"/>
  <c r="AV103" i="2"/>
  <c r="AW103" i="2" s="1"/>
  <c r="N81" i="2"/>
  <c r="D57" i="10" s="1"/>
  <c r="E78" i="10" l="1"/>
  <c r="Z102" i="2"/>
  <c r="I79" i="2"/>
  <c r="K55" i="10" s="1"/>
  <c r="J55" i="10"/>
  <c r="BD80" i="2"/>
  <c r="D80" i="2"/>
  <c r="AT104" i="2"/>
  <c r="P81" i="2"/>
  <c r="AB102" i="2" l="1"/>
  <c r="AC102" i="2" s="1"/>
  <c r="Y102" i="2"/>
  <c r="X103" i="2" s="1"/>
  <c r="BF80" i="2"/>
  <c r="BG80" i="2" s="1"/>
  <c r="BC80" i="2"/>
  <c r="F80" i="2"/>
  <c r="AV104" i="2"/>
  <c r="AW104" i="2" s="1"/>
  <c r="AS104" i="2"/>
  <c r="AR105" i="2" s="1"/>
  <c r="F81" i="10" s="1"/>
  <c r="R81" i="2"/>
  <c r="S81" i="2" s="1"/>
  <c r="O81" i="2"/>
  <c r="E79" i="10" l="1"/>
  <c r="Z103" i="2"/>
  <c r="H80" i="2"/>
  <c r="I56" i="10"/>
  <c r="BB81" i="2"/>
  <c r="E80" i="2"/>
  <c r="H56" i="10" s="1"/>
  <c r="AT105" i="2"/>
  <c r="N82" i="2"/>
  <c r="D58" i="10" s="1"/>
  <c r="AB103" i="2" l="1"/>
  <c r="AC103" i="2" s="1"/>
  <c r="Y103" i="2"/>
  <c r="X104" i="2" s="1"/>
  <c r="I80" i="2"/>
  <c r="K56" i="10" s="1"/>
  <c r="J56" i="10"/>
  <c r="BD81" i="2"/>
  <c r="D81" i="2"/>
  <c r="AV105" i="2"/>
  <c r="AW105" i="2" s="1"/>
  <c r="AS105" i="2"/>
  <c r="AR106" i="2" s="1"/>
  <c r="F82" i="10" s="1"/>
  <c r="P82" i="2"/>
  <c r="E80" i="10" l="1"/>
  <c r="Z104" i="2"/>
  <c r="BC81" i="2"/>
  <c r="BF81" i="2"/>
  <c r="BG81" i="2" s="1"/>
  <c r="F81" i="2"/>
  <c r="AT106" i="2"/>
  <c r="R82" i="2"/>
  <c r="S82" i="2" s="1"/>
  <c r="O82" i="2"/>
  <c r="AB104" i="2" l="1"/>
  <c r="AC104" i="2" s="1"/>
  <c r="Y104" i="2"/>
  <c r="X105" i="2" s="1"/>
  <c r="H81" i="2"/>
  <c r="I57" i="10"/>
  <c r="BB82" i="2"/>
  <c r="E81" i="2"/>
  <c r="H57" i="10" s="1"/>
  <c r="AV106" i="2"/>
  <c r="AW106" i="2" s="1"/>
  <c r="AS106" i="2"/>
  <c r="AR107" i="2" s="1"/>
  <c r="N83" i="2"/>
  <c r="D59" i="10" s="1"/>
  <c r="E81" i="10" l="1"/>
  <c r="Z105" i="2"/>
  <c r="AT107" i="2"/>
  <c r="AS107" i="2" s="1"/>
  <c r="F83" i="10"/>
  <c r="I81" i="2"/>
  <c r="K57" i="10" s="1"/>
  <c r="J57" i="10"/>
  <c r="BD82" i="2"/>
  <c r="D82" i="2"/>
  <c r="P83" i="2"/>
  <c r="AV107" i="2" l="1"/>
  <c r="AW107" i="2" s="1"/>
  <c r="AB105" i="2"/>
  <c r="AC105" i="2" s="1"/>
  <c r="Y105" i="2"/>
  <c r="X106" i="2" s="1"/>
  <c r="BC82" i="2"/>
  <c r="BF82" i="2"/>
  <c r="BG82" i="2" s="1"/>
  <c r="F82" i="2"/>
  <c r="R83" i="2"/>
  <c r="S83" i="2" s="1"/>
  <c r="O83" i="2"/>
  <c r="E82" i="10" l="1"/>
  <c r="Z106" i="2"/>
  <c r="H82" i="2"/>
  <c r="I58" i="10"/>
  <c r="BB83" i="2"/>
  <c r="E82" i="2"/>
  <c r="H58" i="10" s="1"/>
  <c r="N84" i="2"/>
  <c r="D60" i="10" s="1"/>
  <c r="Y106" i="2" l="1"/>
  <c r="X107" i="2" s="1"/>
  <c r="E83" i="10" s="1"/>
  <c r="AB106" i="2"/>
  <c r="AC106" i="2" s="1"/>
  <c r="I82" i="2"/>
  <c r="K58" i="10" s="1"/>
  <c r="J58" i="10"/>
  <c r="BD83" i="2"/>
  <c r="D83" i="2"/>
  <c r="P84" i="2"/>
  <c r="Z107" i="2" l="1"/>
  <c r="BC83" i="2"/>
  <c r="BF83" i="2"/>
  <c r="BG83" i="2" s="1"/>
  <c r="F83" i="2"/>
  <c r="R84" i="2"/>
  <c r="S84" i="2" s="1"/>
  <c r="O84" i="2"/>
  <c r="AB107" i="2" l="1"/>
  <c r="AC107" i="2" s="1"/>
  <c r="Y107" i="2"/>
  <c r="H83" i="2"/>
  <c r="I59" i="10"/>
  <c r="BB84" i="2"/>
  <c r="E83" i="2"/>
  <c r="H59" i="10" s="1"/>
  <c r="N85" i="2"/>
  <c r="D61" i="10" s="1"/>
  <c r="I83" i="2" l="1"/>
  <c r="K59" i="10" s="1"/>
  <c r="J59" i="10"/>
  <c r="BD84" i="2"/>
  <c r="D84" i="2"/>
  <c r="P85" i="2"/>
  <c r="BF84" i="2" l="1"/>
  <c r="BG84" i="2" s="1"/>
  <c r="BC84" i="2"/>
  <c r="F84" i="2"/>
  <c r="R85" i="2"/>
  <c r="S85" i="2" s="1"/>
  <c r="O85" i="2"/>
  <c r="H84" i="2" l="1"/>
  <c r="I60" i="10"/>
  <c r="BB85" i="2"/>
  <c r="E84" i="2"/>
  <c r="H60" i="10" s="1"/>
  <c r="N86" i="2"/>
  <c r="D62" i="10" s="1"/>
  <c r="I84" i="2" l="1"/>
  <c r="K60" i="10" s="1"/>
  <c r="J60" i="10"/>
  <c r="BD85" i="2"/>
  <c r="D85" i="2"/>
  <c r="P86" i="2"/>
  <c r="BC85" i="2" l="1"/>
  <c r="BF85" i="2"/>
  <c r="BG85" i="2" s="1"/>
  <c r="F85" i="2"/>
  <c r="R86" i="2"/>
  <c r="S86" i="2" s="1"/>
  <c r="O86" i="2"/>
  <c r="H85" i="2" l="1"/>
  <c r="I61" i="10"/>
  <c r="BB86" i="2"/>
  <c r="E85" i="2"/>
  <c r="H61" i="10" s="1"/>
  <c r="N87" i="2"/>
  <c r="D63" i="10" s="1"/>
  <c r="I85" i="2" l="1"/>
  <c r="K61" i="10" s="1"/>
  <c r="J61" i="10"/>
  <c r="BD86" i="2"/>
  <c r="D86" i="2"/>
  <c r="P87" i="2"/>
  <c r="BC86" i="2" l="1"/>
  <c r="BF86" i="2"/>
  <c r="BG86" i="2" s="1"/>
  <c r="F86" i="2"/>
  <c r="R87" i="2"/>
  <c r="S87" i="2" s="1"/>
  <c r="O87" i="2"/>
  <c r="H86" i="2" l="1"/>
  <c r="I62" i="10"/>
  <c r="BB87" i="2"/>
  <c r="E86" i="2"/>
  <c r="H62" i="10" s="1"/>
  <c r="N88" i="2"/>
  <c r="D64" i="10" s="1"/>
  <c r="I86" i="2" l="1"/>
  <c r="K62" i="10" s="1"/>
  <c r="J62" i="10"/>
  <c r="BD87" i="2"/>
  <c r="D87" i="2"/>
  <c r="P88" i="2"/>
  <c r="BF87" i="2" l="1"/>
  <c r="BG87" i="2" s="1"/>
  <c r="BC87" i="2"/>
  <c r="F87" i="2"/>
  <c r="R88" i="2"/>
  <c r="S88" i="2" s="1"/>
  <c r="O88" i="2"/>
  <c r="H87" i="2" l="1"/>
  <c r="I63" i="10"/>
  <c r="BB88" i="2"/>
  <c r="E87" i="2"/>
  <c r="H63" i="10" s="1"/>
  <c r="N89" i="2"/>
  <c r="D65" i="10" s="1"/>
  <c r="I87" i="2" l="1"/>
  <c r="K63" i="10" s="1"/>
  <c r="J63" i="10"/>
  <c r="BD88" i="2"/>
  <c r="D88" i="2"/>
  <c r="P89" i="2"/>
  <c r="BF88" i="2" l="1"/>
  <c r="BG88" i="2" s="1"/>
  <c r="BC88" i="2"/>
  <c r="F88" i="2"/>
  <c r="R89" i="2"/>
  <c r="S89" i="2" s="1"/>
  <c r="O89" i="2"/>
  <c r="H88" i="2" l="1"/>
  <c r="I64" i="10"/>
  <c r="BB89" i="2"/>
  <c r="E88" i="2"/>
  <c r="H64" i="10" s="1"/>
  <c r="N90" i="2"/>
  <c r="D66" i="10" s="1"/>
  <c r="I88" i="2" l="1"/>
  <c r="K64" i="10" s="1"/>
  <c r="J64" i="10"/>
  <c r="BD89" i="2"/>
  <c r="D89" i="2"/>
  <c r="P90" i="2"/>
  <c r="BF89" i="2" l="1"/>
  <c r="BG89" i="2" s="1"/>
  <c r="BC89" i="2"/>
  <c r="F89" i="2"/>
  <c r="R90" i="2"/>
  <c r="S90" i="2" s="1"/>
  <c r="O90" i="2"/>
  <c r="H89" i="2" l="1"/>
  <c r="I65" i="10"/>
  <c r="BB90" i="2"/>
  <c r="E89" i="2"/>
  <c r="H65" i="10" s="1"/>
  <c r="N91" i="2"/>
  <c r="D67" i="10" s="1"/>
  <c r="I89" i="2" l="1"/>
  <c r="K65" i="10" s="1"/>
  <c r="J65" i="10"/>
  <c r="BD90" i="2"/>
  <c r="D90" i="2"/>
  <c r="P91" i="2"/>
  <c r="BF90" i="2" l="1"/>
  <c r="BG90" i="2" s="1"/>
  <c r="BC90" i="2"/>
  <c r="F90" i="2"/>
  <c r="R91" i="2"/>
  <c r="S91" i="2" s="1"/>
  <c r="O91" i="2"/>
  <c r="H90" i="2" l="1"/>
  <c r="I66" i="10"/>
  <c r="BB91" i="2"/>
  <c r="E90" i="2"/>
  <c r="H66" i="10" s="1"/>
  <c r="N92" i="2"/>
  <c r="D68" i="10" s="1"/>
  <c r="I90" i="2" l="1"/>
  <c r="K66" i="10" s="1"/>
  <c r="J66" i="10"/>
  <c r="BD91" i="2"/>
  <c r="D91" i="2"/>
  <c r="P92" i="2"/>
  <c r="BF91" i="2" l="1"/>
  <c r="BG91" i="2" s="1"/>
  <c r="BC91" i="2"/>
  <c r="F91" i="2"/>
  <c r="R92" i="2"/>
  <c r="S92" i="2" s="1"/>
  <c r="O92" i="2"/>
  <c r="H91" i="2" l="1"/>
  <c r="I67" i="10"/>
  <c r="BB92" i="2"/>
  <c r="E91" i="2"/>
  <c r="H67" i="10" s="1"/>
  <c r="N93" i="2"/>
  <c r="D69" i="10" s="1"/>
  <c r="I91" i="2" l="1"/>
  <c r="K67" i="10" s="1"/>
  <c r="J67" i="10"/>
  <c r="BD92" i="2"/>
  <c r="D92" i="2"/>
  <c r="P93" i="2"/>
  <c r="BC92" i="2" l="1"/>
  <c r="BF92" i="2"/>
  <c r="BG92" i="2" s="1"/>
  <c r="F92" i="2"/>
  <c r="R93" i="2"/>
  <c r="S93" i="2" s="1"/>
  <c r="O93" i="2"/>
  <c r="H92" i="2" l="1"/>
  <c r="I68" i="10"/>
  <c r="BB93" i="2"/>
  <c r="E92" i="2"/>
  <c r="H68" i="10" s="1"/>
  <c r="N94" i="2"/>
  <c r="D70" i="10" s="1"/>
  <c r="I92" i="2" l="1"/>
  <c r="K68" i="10" s="1"/>
  <c r="J68" i="10"/>
  <c r="BD93" i="2"/>
  <c r="D93" i="2"/>
  <c r="P94" i="2"/>
  <c r="BF93" i="2" l="1"/>
  <c r="BG93" i="2" s="1"/>
  <c r="BC93" i="2"/>
  <c r="F93" i="2"/>
  <c r="R94" i="2"/>
  <c r="S94" i="2" s="1"/>
  <c r="O94" i="2"/>
  <c r="H93" i="2" l="1"/>
  <c r="I69" i="10"/>
  <c r="BB94" i="2"/>
  <c r="E93" i="2"/>
  <c r="H69" i="10" s="1"/>
  <c r="N95" i="2"/>
  <c r="D71" i="10" s="1"/>
  <c r="I93" i="2" l="1"/>
  <c r="K69" i="10" s="1"/>
  <c r="J69" i="10"/>
  <c r="BD94" i="2"/>
  <c r="D94" i="2"/>
  <c r="P95" i="2"/>
  <c r="BF94" i="2" l="1"/>
  <c r="BG94" i="2" s="1"/>
  <c r="BC94" i="2"/>
  <c r="F94" i="2"/>
  <c r="R95" i="2"/>
  <c r="S95" i="2" s="1"/>
  <c r="O95" i="2"/>
  <c r="H94" i="2" l="1"/>
  <c r="I70" i="10"/>
  <c r="BB95" i="2"/>
  <c r="D95" i="2" s="1"/>
  <c r="E94" i="2"/>
  <c r="H70" i="10" s="1"/>
  <c r="N96" i="2"/>
  <c r="D72" i="10" s="1"/>
  <c r="I94" i="2" l="1"/>
  <c r="K70" i="10" s="1"/>
  <c r="J70" i="10"/>
  <c r="BD95" i="2"/>
  <c r="P96" i="2"/>
  <c r="BF95" i="2" l="1"/>
  <c r="BG95" i="2" s="1"/>
  <c r="BC95" i="2"/>
  <c r="F95" i="2"/>
  <c r="O96" i="2"/>
  <c r="R96" i="2"/>
  <c r="S96" i="2" s="1"/>
  <c r="H95" i="2" l="1"/>
  <c r="I71" i="10"/>
  <c r="BB96" i="2"/>
  <c r="E95" i="2"/>
  <c r="H71" i="10" s="1"/>
  <c r="N97" i="2"/>
  <c r="D73" i="10" s="1"/>
  <c r="I95" i="2" l="1"/>
  <c r="K71" i="10" s="1"/>
  <c r="J71" i="10"/>
  <c r="BD96" i="2"/>
  <c r="D96" i="2"/>
  <c r="P97" i="2"/>
  <c r="BF96" i="2" l="1"/>
  <c r="BG96" i="2" s="1"/>
  <c r="BC96" i="2"/>
  <c r="F96" i="2"/>
  <c r="R97" i="2"/>
  <c r="S97" i="2" s="1"/>
  <c r="O97" i="2"/>
  <c r="H96" i="2" l="1"/>
  <c r="I72" i="10"/>
  <c r="BB97" i="2"/>
  <c r="E96" i="2"/>
  <c r="H72" i="10" s="1"/>
  <c r="N98" i="2"/>
  <c r="D74" i="10" s="1"/>
  <c r="I96" i="2" l="1"/>
  <c r="K72" i="10" s="1"/>
  <c r="J72" i="10"/>
  <c r="BD97" i="2"/>
  <c r="D97" i="2"/>
  <c r="P98" i="2"/>
  <c r="BC97" i="2" l="1"/>
  <c r="BF97" i="2"/>
  <c r="BG97" i="2" s="1"/>
  <c r="F97" i="2"/>
  <c r="R98" i="2"/>
  <c r="S98" i="2" s="1"/>
  <c r="O98" i="2"/>
  <c r="H97" i="2" l="1"/>
  <c r="I73" i="10"/>
  <c r="BB98" i="2"/>
  <c r="E97" i="2"/>
  <c r="H73" i="10" s="1"/>
  <c r="N99" i="2"/>
  <c r="D75" i="10" s="1"/>
  <c r="I97" i="2" l="1"/>
  <c r="K73" i="10" s="1"/>
  <c r="J73" i="10"/>
  <c r="BD98" i="2"/>
  <c r="D98" i="2"/>
  <c r="P99" i="2"/>
  <c r="BF98" i="2" l="1"/>
  <c r="BG98" i="2" s="1"/>
  <c r="BC98" i="2"/>
  <c r="F98" i="2"/>
  <c r="R99" i="2"/>
  <c r="S99" i="2" s="1"/>
  <c r="O99" i="2"/>
  <c r="H98" i="2" l="1"/>
  <c r="I74" i="10"/>
  <c r="BB99" i="2"/>
  <c r="E98" i="2"/>
  <c r="H74" i="10" s="1"/>
  <c r="N100" i="2"/>
  <c r="D76" i="10" s="1"/>
  <c r="I98" i="2" l="1"/>
  <c r="K74" i="10" s="1"/>
  <c r="J74" i="10"/>
  <c r="BD99" i="2"/>
  <c r="D99" i="2"/>
  <c r="P100" i="2"/>
  <c r="BC99" i="2" l="1"/>
  <c r="BF99" i="2"/>
  <c r="BG99" i="2" s="1"/>
  <c r="F99" i="2"/>
  <c r="R100" i="2"/>
  <c r="S100" i="2" s="1"/>
  <c r="O100" i="2"/>
  <c r="H99" i="2" l="1"/>
  <c r="I75" i="10"/>
  <c r="BB100" i="2"/>
  <c r="E99" i="2"/>
  <c r="H75" i="10" s="1"/>
  <c r="N101" i="2"/>
  <c r="D77" i="10" s="1"/>
  <c r="I99" i="2" l="1"/>
  <c r="K75" i="10" s="1"/>
  <c r="J75" i="10"/>
  <c r="BD100" i="2"/>
  <c r="D100" i="2"/>
  <c r="P101" i="2"/>
  <c r="BF100" i="2" l="1"/>
  <c r="BG100" i="2" s="1"/>
  <c r="BC100" i="2"/>
  <c r="F100" i="2"/>
  <c r="O101" i="2"/>
  <c r="R101" i="2"/>
  <c r="S101" i="2" s="1"/>
  <c r="H100" i="2" l="1"/>
  <c r="I76" i="10"/>
  <c r="BB101" i="2"/>
  <c r="E100" i="2"/>
  <c r="H76" i="10" s="1"/>
  <c r="N102" i="2"/>
  <c r="D78" i="10" s="1"/>
  <c r="I100" i="2" l="1"/>
  <c r="K76" i="10" s="1"/>
  <c r="J76" i="10"/>
  <c r="BD101" i="2"/>
  <c r="D101" i="2"/>
  <c r="P102" i="2"/>
  <c r="BC101" i="2" l="1"/>
  <c r="BF101" i="2"/>
  <c r="BG101" i="2" s="1"/>
  <c r="F101" i="2"/>
  <c r="R102" i="2"/>
  <c r="S102" i="2" s="1"/>
  <c r="O102" i="2"/>
  <c r="H101" i="2" l="1"/>
  <c r="I77" i="10"/>
  <c r="BB102" i="2"/>
  <c r="E101" i="2"/>
  <c r="H77" i="10" s="1"/>
  <c r="N103" i="2"/>
  <c r="D79" i="10" s="1"/>
  <c r="I101" i="2" l="1"/>
  <c r="K77" i="10" s="1"/>
  <c r="J77" i="10"/>
  <c r="BD102" i="2"/>
  <c r="D102" i="2"/>
  <c r="P103" i="2"/>
  <c r="BC102" i="2" l="1"/>
  <c r="BF102" i="2"/>
  <c r="BG102" i="2" s="1"/>
  <c r="F102" i="2"/>
  <c r="R103" i="2"/>
  <c r="S103" i="2" s="1"/>
  <c r="O103" i="2"/>
  <c r="H102" i="2" l="1"/>
  <c r="I78" i="10"/>
  <c r="BB103" i="2"/>
  <c r="E102" i="2"/>
  <c r="H78" i="10" s="1"/>
  <c r="N104" i="2"/>
  <c r="D80" i="10" s="1"/>
  <c r="I102" i="2" l="1"/>
  <c r="K78" i="10" s="1"/>
  <c r="J78" i="10"/>
  <c r="BD103" i="2"/>
  <c r="D103" i="2"/>
  <c r="P104" i="2"/>
  <c r="BF103" i="2" l="1"/>
  <c r="BG103" i="2" s="1"/>
  <c r="BC103" i="2"/>
  <c r="F103" i="2"/>
  <c r="R104" i="2"/>
  <c r="S104" i="2" s="1"/>
  <c r="O104" i="2"/>
  <c r="H103" i="2" l="1"/>
  <c r="I79" i="10"/>
  <c r="BB104" i="2"/>
  <c r="E103" i="2"/>
  <c r="H79" i="10" s="1"/>
  <c r="N105" i="2"/>
  <c r="D81" i="10" s="1"/>
  <c r="I103" i="2" l="1"/>
  <c r="K79" i="10" s="1"/>
  <c r="J79" i="10"/>
  <c r="BD104" i="2"/>
  <c r="D104" i="2"/>
  <c r="P105" i="2"/>
  <c r="BC104" i="2" l="1"/>
  <c r="BF104" i="2"/>
  <c r="BG104" i="2" s="1"/>
  <c r="F104" i="2"/>
  <c r="O105" i="2"/>
  <c r="R105" i="2"/>
  <c r="S105" i="2" s="1"/>
  <c r="H104" i="2" l="1"/>
  <c r="I80" i="10"/>
  <c r="BB105" i="2"/>
  <c r="E104" i="2"/>
  <c r="H80" i="10" s="1"/>
  <c r="N106" i="2"/>
  <c r="D82" i="10" s="1"/>
  <c r="I104" i="2" l="1"/>
  <c r="K80" i="10" s="1"/>
  <c r="J80" i="10"/>
  <c r="BD105" i="2"/>
  <c r="D105" i="2"/>
  <c r="P106" i="2"/>
  <c r="BC105" i="2" l="1"/>
  <c r="BF105" i="2"/>
  <c r="BG105" i="2" s="1"/>
  <c r="F105" i="2"/>
  <c r="R106" i="2"/>
  <c r="S106" i="2" s="1"/>
  <c r="O106" i="2"/>
  <c r="H105" i="2" l="1"/>
  <c r="I81" i="10"/>
  <c r="BB106" i="2"/>
  <c r="E105" i="2"/>
  <c r="H81" i="10" s="1"/>
  <c r="N107" i="2"/>
  <c r="D83" i="10" s="1"/>
  <c r="I105" i="2" l="1"/>
  <c r="K81" i="10" s="1"/>
  <c r="J81" i="10"/>
  <c r="BD106" i="2"/>
  <c r="D106" i="2"/>
  <c r="P107" i="2"/>
  <c r="BF106" i="2" l="1"/>
  <c r="BG106" i="2" s="1"/>
  <c r="BC106" i="2"/>
  <c r="F106" i="2"/>
  <c r="R107" i="2"/>
  <c r="S107" i="2" s="1"/>
  <c r="O107" i="2"/>
  <c r="H106" i="2" l="1"/>
  <c r="I82" i="10"/>
  <c r="BB107" i="2"/>
  <c r="E106" i="2"/>
  <c r="H82" i="10" s="1"/>
  <c r="I106" i="2" l="1"/>
  <c r="K82" i="10" s="1"/>
  <c r="J82" i="10"/>
  <c r="BD107" i="2"/>
  <c r="D107" i="2"/>
  <c r="BF107" i="2" l="1"/>
  <c r="BG107" i="2" s="1"/>
  <c r="BC107" i="2"/>
  <c r="E107" i="2" s="1"/>
  <c r="H83" i="10" s="1"/>
  <c r="F107" i="2"/>
  <c r="C7" i="4"/>
  <c r="C66" i="4" s="1"/>
  <c r="H107" i="2" l="1"/>
  <c r="I83" i="10"/>
  <c r="I107" i="2" l="1"/>
  <c r="J83" i="10"/>
  <c r="K83" i="10" l="1"/>
  <c r="BJ101" i="2" l="1"/>
  <c r="BJ105" i="2"/>
  <c r="BJ85" i="2"/>
  <c r="BJ59" i="2"/>
  <c r="BJ62" i="2"/>
  <c r="BJ66" i="2"/>
  <c r="BJ69" i="2"/>
  <c r="BJ71" i="2"/>
  <c r="BJ57" i="2"/>
  <c r="BJ68" i="2"/>
  <c r="BJ75" i="2"/>
  <c r="BJ80" i="2"/>
  <c r="BJ106" i="2"/>
  <c r="BJ99" i="2"/>
  <c r="BJ63" i="2"/>
  <c r="BJ73" i="2"/>
  <c r="BJ97" i="2"/>
  <c r="BJ89" i="2"/>
  <c r="BJ104" i="2"/>
  <c r="BJ60" i="2"/>
  <c r="BJ92" i="2"/>
  <c r="BJ79" i="2"/>
  <c r="BJ83" i="2"/>
  <c r="BJ76" i="2"/>
  <c r="BJ102" i="2"/>
  <c r="BJ94" i="2"/>
  <c r="BJ52" i="2"/>
  <c r="BJ93" i="2"/>
  <c r="BJ103" i="2"/>
  <c r="BJ64" i="2"/>
  <c r="BJ84" i="2"/>
  <c r="BJ72" i="2"/>
  <c r="BJ86" i="2"/>
  <c r="BJ53" i="2"/>
  <c r="BJ51" i="2"/>
  <c r="BJ48" i="2"/>
  <c r="BJ65" i="2"/>
  <c r="BJ78" i="2"/>
  <c r="BJ70" i="2"/>
  <c r="BJ56" i="2"/>
  <c r="BJ88" i="2"/>
  <c r="BJ58" i="2"/>
  <c r="BJ90" i="2"/>
  <c r="BJ74" i="2"/>
  <c r="BJ54" i="2"/>
  <c r="BJ87" i="2"/>
  <c r="BJ77" i="2"/>
  <c r="BJ50" i="2"/>
  <c r="BJ81" i="2"/>
  <c r="BJ67" i="2"/>
  <c r="BJ91" i="2"/>
  <c r="BJ100" i="2"/>
  <c r="BJ98" i="2"/>
  <c r="BJ61" i="2"/>
  <c r="BJ82" i="2"/>
  <c r="BJ55" i="2"/>
  <c r="BJ49" i="2"/>
  <c r="BJ107" i="2"/>
  <c r="BJ96" i="2"/>
  <c r="BJ95" i="2"/>
  <c r="B28" i="3" l="1"/>
  <c r="H11" i="2" s="1"/>
  <c r="H19" i="2" s="1"/>
  <c r="B6" i="3"/>
  <c r="B7" i="3" s="1"/>
  <c r="B18" i="3" s="1"/>
  <c r="C6" i="9"/>
  <c r="C7" i="9" s="1"/>
  <c r="C18" i="4"/>
  <c r="D18" i="4" s="1"/>
  <c r="D6" i="2"/>
  <c r="D7" i="2" s="1"/>
  <c r="C7" i="2"/>
  <c r="Q30" i="2" s="1"/>
  <c r="G30" i="2" s="1"/>
  <c r="D6" i="9" l="1"/>
  <c r="B21" i="3"/>
  <c r="B22" i="3"/>
  <c r="C58" i="4"/>
  <c r="C63" i="4" s="1"/>
  <c r="C18" i="2"/>
  <c r="N30" i="2"/>
  <c r="D30" i="2" s="1"/>
  <c r="C6" i="3"/>
  <c r="C27" i="4"/>
  <c r="R30" i="2"/>
  <c r="H30" i="2" s="1"/>
  <c r="M30" i="2"/>
  <c r="P30" i="2"/>
  <c r="F30" i="2" s="1"/>
  <c r="O30" i="2"/>
  <c r="E30" i="2" s="1"/>
  <c r="H14" i="2"/>
  <c r="N35" i="2"/>
  <c r="C11" i="4" l="1"/>
  <c r="C20" i="4" s="1"/>
  <c r="C33" i="4"/>
  <c r="C38" i="4"/>
  <c r="C44" i="4" s="1"/>
  <c r="N36" i="2"/>
  <c r="D11" i="10"/>
  <c r="C3" i="10"/>
  <c r="D35" i="2"/>
  <c r="C22" i="2"/>
  <c r="C10" i="4"/>
  <c r="C19" i="4" s="1"/>
  <c r="F35" i="2"/>
  <c r="Q40" i="2"/>
  <c r="Q43" i="2"/>
  <c r="Q42" i="2"/>
  <c r="Q39" i="2"/>
  <c r="Q45" i="2"/>
  <c r="Q38" i="2"/>
  <c r="Q47" i="2"/>
  <c r="Q44" i="2"/>
  <c r="Q46" i="2"/>
  <c r="Q36" i="2"/>
  <c r="C30" i="2"/>
  <c r="Q41" i="2"/>
  <c r="Q37" i="2"/>
  <c r="B23" i="3"/>
  <c r="B26" i="3" s="1"/>
  <c r="B27" i="3" s="1"/>
  <c r="G41" i="2" l="1"/>
  <c r="BN41" i="2"/>
  <c r="BI41" i="2" s="1"/>
  <c r="BN39" i="2"/>
  <c r="BI39" i="2" s="1"/>
  <c r="G39" i="2"/>
  <c r="G42" i="2"/>
  <c r="BN42" i="2"/>
  <c r="BI42" i="2" s="1"/>
  <c r="BN43" i="2"/>
  <c r="BI43" i="2" s="1"/>
  <c r="G43" i="2"/>
  <c r="G36" i="2"/>
  <c r="BN36" i="2"/>
  <c r="BI36" i="2" s="1"/>
  <c r="G46" i="2"/>
  <c r="BN46" i="2"/>
  <c r="BI46" i="2" s="1"/>
  <c r="G40" i="2"/>
  <c r="BN40" i="2"/>
  <c r="BI40" i="2" s="1"/>
  <c r="P36" i="2"/>
  <c r="D12" i="10"/>
  <c r="D36" i="2"/>
  <c r="G44" i="2"/>
  <c r="BN44" i="2"/>
  <c r="BI44" i="2" s="1"/>
  <c r="I11" i="10"/>
  <c r="H35" i="2"/>
  <c r="P35" i="2"/>
  <c r="BS35" i="2"/>
  <c r="BI35" i="2" s="1"/>
  <c r="C24" i="4"/>
  <c r="E24" i="4"/>
  <c r="BN47" i="2"/>
  <c r="BI47" i="2" s="1"/>
  <c r="G47" i="2"/>
  <c r="G38" i="2"/>
  <c r="BN38" i="2"/>
  <c r="BI38" i="2" s="1"/>
  <c r="G37" i="2"/>
  <c r="BN37" i="2"/>
  <c r="BI37" i="2" s="1"/>
  <c r="BN45" i="2"/>
  <c r="BI45" i="2" s="1"/>
  <c r="G45" i="2"/>
  <c r="C24" i="2"/>
  <c r="H15" i="2"/>
  <c r="H20" i="2" s="1"/>
  <c r="C67" i="4"/>
  <c r="C72" i="4" s="1"/>
  <c r="C74" i="4" s="1"/>
  <c r="BI34" i="2" s="1"/>
  <c r="J11" i="10" l="1"/>
  <c r="R35" i="2"/>
  <c r="S35" i="2" s="1"/>
  <c r="C50" i="4"/>
  <c r="C26" i="2" s="1"/>
  <c r="BK32" i="2" s="1"/>
  <c r="BJ38" i="2" s="1"/>
  <c r="I35" i="2"/>
  <c r="F36" i="2"/>
  <c r="R36" i="2"/>
  <c r="S36" i="2" s="1"/>
  <c r="O36" i="2"/>
  <c r="BI32" i="2"/>
  <c r="C48" i="4"/>
  <c r="BJ35" i="2" l="1"/>
  <c r="BJ40" i="2"/>
  <c r="K11" i="10"/>
  <c r="BJ47" i="2"/>
  <c r="BJ42" i="2"/>
  <c r="BJ41" i="2"/>
  <c r="BJ37" i="2"/>
  <c r="E36" i="2"/>
  <c r="H12" i="10" s="1"/>
  <c r="N37" i="2"/>
  <c r="BJ36" i="2"/>
  <c r="BJ44" i="2"/>
  <c r="BJ46" i="2"/>
  <c r="BJ43" i="2"/>
  <c r="BJ45" i="2"/>
  <c r="H36" i="2"/>
  <c r="I12" i="10"/>
  <c r="BJ39" i="2"/>
  <c r="D13" i="10" l="1"/>
  <c r="D37" i="2"/>
  <c r="P37" i="2"/>
  <c r="J12" i="10"/>
  <c r="I36" i="2"/>
  <c r="BJ34" i="2"/>
  <c r="BK34" i="2" s="1"/>
  <c r="F37" i="2" l="1"/>
  <c r="R37" i="2"/>
  <c r="S37" i="2" s="1"/>
  <c r="O37" i="2"/>
  <c r="K12" i="10"/>
  <c r="E37" i="2" l="1"/>
  <c r="H13" i="10" s="1"/>
  <c r="N38" i="2"/>
  <c r="I13" i="10"/>
  <c r="H37" i="2"/>
  <c r="J13" i="10" l="1"/>
  <c r="I37" i="2"/>
  <c r="P38" i="2"/>
  <c r="D14" i="10"/>
  <c r="D38" i="2"/>
  <c r="K13" i="10" l="1"/>
  <c r="R38" i="2"/>
  <c r="S38" i="2" s="1"/>
  <c r="F38" i="2"/>
  <c r="O38" i="2"/>
  <c r="I14" i="10" l="1"/>
  <c r="H38" i="2"/>
  <c r="E38" i="2"/>
  <c r="H14" i="10" s="1"/>
  <c r="N39" i="2"/>
  <c r="D15" i="10" l="1"/>
  <c r="P39" i="2"/>
  <c r="D39" i="2"/>
  <c r="J14" i="10"/>
  <c r="I38" i="2"/>
  <c r="K14" i="10" l="1"/>
  <c r="F39" i="2"/>
  <c r="R39" i="2"/>
  <c r="S39" i="2" s="1"/>
  <c r="O39" i="2"/>
  <c r="I15" i="10" l="1"/>
  <c r="H39" i="2"/>
  <c r="E39" i="2"/>
  <c r="H15" i="10" s="1"/>
  <c r="N40" i="2"/>
  <c r="D16" i="10" l="1"/>
  <c r="D40" i="2"/>
  <c r="P40" i="2"/>
  <c r="J15" i="10"/>
  <c r="I39" i="2"/>
  <c r="K15" i="10" l="1"/>
  <c r="R40" i="2"/>
  <c r="S40" i="2" s="1"/>
  <c r="F40" i="2"/>
  <c r="O40" i="2"/>
  <c r="H40" i="2" l="1"/>
  <c r="I16" i="10"/>
  <c r="E40" i="2"/>
  <c r="H16" i="10" s="1"/>
  <c r="N41" i="2"/>
  <c r="D41" i="2" l="1"/>
  <c r="D17" i="10"/>
  <c r="P41" i="2"/>
  <c r="J16" i="10"/>
  <c r="I40" i="2"/>
  <c r="K16" i="10" s="1"/>
  <c r="F41" i="2" l="1"/>
  <c r="R41" i="2"/>
  <c r="S41" i="2" s="1"/>
  <c r="O41" i="2"/>
  <c r="E41" i="2" l="1"/>
  <c r="H17" i="10" s="1"/>
  <c r="N42" i="2"/>
  <c r="H41" i="2"/>
  <c r="I17" i="10"/>
  <c r="J17" i="10" l="1"/>
  <c r="I41" i="2"/>
  <c r="K17" i="10" s="1"/>
  <c r="D18" i="10"/>
  <c r="D42" i="2"/>
  <c r="P42" i="2"/>
  <c r="R42" i="2" l="1"/>
  <c r="S42" i="2" s="1"/>
  <c r="F42" i="2"/>
  <c r="O42" i="2"/>
  <c r="E42" i="2" l="1"/>
  <c r="H18" i="10" s="1"/>
  <c r="N43" i="2"/>
  <c r="H42" i="2"/>
  <c r="I18" i="10"/>
  <c r="J18" i="10" l="1"/>
  <c r="I42" i="2"/>
  <c r="K18" i="10" s="1"/>
  <c r="P43" i="2"/>
  <c r="D19" i="10"/>
  <c r="D43" i="2"/>
  <c r="F43" i="2" l="1"/>
  <c r="R43" i="2"/>
  <c r="S43" i="2" s="1"/>
  <c r="O43" i="2"/>
  <c r="E43" i="2" l="1"/>
  <c r="H19" i="10" s="1"/>
  <c r="N44" i="2"/>
  <c r="H43" i="2"/>
  <c r="I19" i="10"/>
  <c r="J19" i="10" l="1"/>
  <c r="I43" i="2"/>
  <c r="K19" i="10" s="1"/>
  <c r="P44" i="2"/>
  <c r="D20" i="10"/>
  <c r="D44" i="2"/>
  <c r="R44" i="2" l="1"/>
  <c r="S44" i="2" s="1"/>
  <c r="F44" i="2"/>
  <c r="O44" i="2"/>
  <c r="E44" i="2" l="1"/>
  <c r="H20" i="10" s="1"/>
  <c r="N45" i="2"/>
  <c r="I20" i="10"/>
  <c r="H44" i="2"/>
  <c r="J20" i="10" l="1"/>
  <c r="I44" i="2"/>
  <c r="K20" i="10" s="1"/>
  <c r="D45" i="2"/>
  <c r="D21" i="10"/>
  <c r="P45" i="2"/>
  <c r="R45" i="2" l="1"/>
  <c r="S45" i="2" s="1"/>
  <c r="F45" i="2"/>
  <c r="O45" i="2"/>
  <c r="E45" i="2" l="1"/>
  <c r="H21" i="10" s="1"/>
  <c r="N46" i="2"/>
  <c r="I21" i="10"/>
  <c r="H45" i="2"/>
  <c r="J21" i="10" l="1"/>
  <c r="I45" i="2"/>
  <c r="K21" i="10" s="1"/>
  <c r="P46" i="2"/>
  <c r="D22" i="10"/>
  <c r="D46" i="2"/>
  <c r="R46" i="2" l="1"/>
  <c r="S46" i="2" s="1"/>
  <c r="F46" i="2"/>
  <c r="O46" i="2"/>
  <c r="E46" i="2" l="1"/>
  <c r="H22" i="10" s="1"/>
  <c r="N47" i="2"/>
  <c r="H46" i="2"/>
  <c r="I22" i="10"/>
  <c r="J22" i="10" l="1"/>
  <c r="I46" i="2"/>
  <c r="K22" i="10" s="1"/>
  <c r="D23" i="10"/>
  <c r="P47" i="2"/>
  <c r="D47" i="2"/>
  <c r="F47" i="2" l="1"/>
  <c r="R47" i="2"/>
  <c r="S47" i="2" s="1"/>
  <c r="O47" i="2"/>
  <c r="E47" i="2" s="1"/>
  <c r="H23" i="10" s="1"/>
  <c r="P111" i="2"/>
  <c r="C47" i="4" s="1"/>
  <c r="I23" i="10" l="1"/>
  <c r="H47" i="2"/>
  <c r="J23" i="10" l="1"/>
  <c r="I47" i="2"/>
  <c r="K23" i="10" l="1"/>
  <c r="K86" i="10" s="1"/>
  <c r="H8" i="2"/>
  <c r="H5" i="2"/>
</calcChain>
</file>

<file path=xl/sharedStrings.xml><?xml version="1.0" encoding="utf-8"?>
<sst xmlns="http://schemas.openxmlformats.org/spreadsheetml/2006/main" count="306" uniqueCount="171">
  <si>
    <t>Fecha:</t>
  </si>
  <si>
    <t>Día:</t>
  </si>
  <si>
    <t>Mes:</t>
  </si>
  <si>
    <t>Año:</t>
  </si>
  <si>
    <t>Mensualidad:</t>
  </si>
  <si>
    <t>Día primer pago:</t>
  </si>
  <si>
    <t>Mes primer pago:</t>
  </si>
  <si>
    <t>Año primer pago: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</si>
  <si>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</si>
  <si>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</si>
  <si>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</si>
  <si>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</si>
  <si>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</si>
  <si>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</si>
  <si>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</si>
  <si>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</si>
  <si>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</si>
  <si>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</si>
  <si>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</si>
  <si>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</si>
  <si>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Seguro Daños:</t>
  </si>
  <si>
    <t>Contado</t>
  </si>
  <si>
    <t>Tipo de seguro:</t>
  </si>
  <si>
    <t>Anual</t>
  </si>
  <si>
    <t>Plazo:</t>
  </si>
  <si>
    <t>Financiado</t>
  </si>
  <si>
    <t>Multianual Fraccionado</t>
  </si>
  <si>
    <t>Gratis</t>
  </si>
  <si>
    <t>Multianual Financiado</t>
  </si>
  <si>
    <t>Condiciones de financiamiento</t>
  </si>
  <si>
    <t>Monto Mínimo a Pagar</t>
  </si>
  <si>
    <t>Precio del Vehículo</t>
  </si>
  <si>
    <t>Enganche</t>
  </si>
  <si>
    <t>Aforo:</t>
  </si>
  <si>
    <t>Subsidio a Retener</t>
  </si>
  <si>
    <t>Valor del Subsidio con IVA</t>
  </si>
  <si>
    <t>Forma de Pago Seguro de Daños</t>
  </si>
  <si>
    <t>Tipo de Seguro</t>
  </si>
  <si>
    <t>Desembolso al Dealer</t>
  </si>
  <si>
    <t>Seguro de Daños Año 1</t>
  </si>
  <si>
    <t>Aforo</t>
  </si>
  <si>
    <t>Seguro de Daños Año 2</t>
  </si>
  <si>
    <t>Comisión por Apertura con IVA</t>
  </si>
  <si>
    <t>Seguro de Daños Subsecuentes</t>
  </si>
  <si>
    <t xml:space="preserve">Suma subsecuentes </t>
  </si>
  <si>
    <t>Seguro de Daños</t>
  </si>
  <si>
    <t>Seguro de Vida y Desempleo</t>
  </si>
  <si>
    <t>Accesorios Financiados</t>
  </si>
  <si>
    <t>Tipo de Persona</t>
  </si>
  <si>
    <t>PF</t>
  </si>
  <si>
    <t>Subsidio</t>
  </si>
  <si>
    <t>Plazo (meses)</t>
  </si>
  <si>
    <t>Pago al Distribuidor</t>
  </si>
  <si>
    <t>Tasa</t>
  </si>
  <si>
    <t>Comisión por Apertura %</t>
  </si>
  <si>
    <t>Pago de Comisión por Apertura</t>
  </si>
  <si>
    <t>Desembolso Inicial</t>
  </si>
  <si>
    <t>CAT AUTOMOTRIZ</t>
  </si>
  <si>
    <t>Pago Mensual sin IVA:</t>
  </si>
  <si>
    <t>Desglose de amortizaciones Total</t>
  </si>
  <si>
    <t>Desglose de amortizaciones Auto</t>
  </si>
  <si>
    <t>Desglose de amortizaciones Seguro de Vida y Desempleo</t>
  </si>
  <si>
    <t>Desglose de amortizaciones Accesorios</t>
  </si>
  <si>
    <t>Desglose de amortizaciones Comisión por Apertura</t>
  </si>
  <si>
    <t>No. Pago</t>
  </si>
  <si>
    <t>Fecha de Pago</t>
  </si>
  <si>
    <t>Saldo Insoluto</t>
  </si>
  <si>
    <t>Capital</t>
  </si>
  <si>
    <t>Interés</t>
  </si>
  <si>
    <t>Cuota</t>
  </si>
  <si>
    <t>IVA de Interés</t>
  </si>
  <si>
    <t>Pago Mensual</t>
  </si>
  <si>
    <t>CAT</t>
  </si>
  <si>
    <t>Validador</t>
  </si>
  <si>
    <t>Diferencia</t>
  </si>
  <si>
    <t>Cuotas sin IVA (CAT)</t>
  </si>
  <si>
    <t>CxA</t>
  </si>
  <si>
    <t>Accesorios</t>
  </si>
  <si>
    <t>Daños</t>
  </si>
  <si>
    <t>VyD</t>
  </si>
  <si>
    <t>Cuota 0</t>
  </si>
  <si>
    <t>Calculadora de Subsidios</t>
  </si>
  <si>
    <t>DATOS DEL VEHÍCULO</t>
  </si>
  <si>
    <t>Precio del vehículo:</t>
  </si>
  <si>
    <t>Enganche:</t>
  </si>
  <si>
    <t>Tasa base:</t>
  </si>
  <si>
    <t>Tasa subsidio:</t>
  </si>
  <si>
    <t>SEGUROS</t>
  </si>
  <si>
    <t>Seguro de VyD:</t>
  </si>
  <si>
    <t>Monto a financiar:</t>
  </si>
  <si>
    <t>Mensualidad base:</t>
  </si>
  <si>
    <t>Mensualidad subsidio:</t>
  </si>
  <si>
    <t>Beneficio en tasa:</t>
  </si>
  <si>
    <t>SUBSIDIO</t>
  </si>
  <si>
    <t>Subsidio sin IVA:</t>
  </si>
  <si>
    <t>IVA:</t>
  </si>
  <si>
    <t>Subsidio Total:</t>
  </si>
  <si>
    <t>CALCULADORA DEL CAT PARA CRÉDITO AUTOMOTRIZ</t>
  </si>
  <si>
    <t>Precio del vehículo</t>
  </si>
  <si>
    <t>Crédito:</t>
  </si>
  <si>
    <t>Diferencia:</t>
  </si>
  <si>
    <t>Cargos Adicionales</t>
  </si>
  <si>
    <t>Comisión por apertura:</t>
  </si>
  <si>
    <t>Otras comisiones:</t>
  </si>
  <si>
    <t>Seguro de daños año 1:</t>
  </si>
  <si>
    <t>Seguro de vida y desempleo:</t>
  </si>
  <si>
    <t>Accesorios:</t>
  </si>
  <si>
    <t>Pago Inicial</t>
  </si>
  <si>
    <t>Prima de seguro de daños:</t>
  </si>
  <si>
    <t>Total:</t>
  </si>
  <si>
    <t>Financiamiento</t>
  </si>
  <si>
    <t>Tasa de interés anual:</t>
  </si>
  <si>
    <t>Plazo (meses):</t>
  </si>
  <si>
    <t>Pago exigido mensual</t>
  </si>
  <si>
    <t>Comisión de apertura:</t>
  </si>
  <si>
    <t>Prima de seguro de vida y desempleo:</t>
  </si>
  <si>
    <t>Monto total a pagar</t>
  </si>
  <si>
    <t>Intereses pagados:</t>
  </si>
  <si>
    <t>Monto total a pagar:</t>
  </si>
  <si>
    <t>CAT:</t>
  </si>
  <si>
    <t>Número de pagos:</t>
  </si>
  <si>
    <t>Número de periodos al año:</t>
  </si>
  <si>
    <t>SI</t>
  </si>
  <si>
    <t>PFAE</t>
  </si>
  <si>
    <t>NO</t>
  </si>
  <si>
    <t>Entradas (monto a financiar):</t>
  </si>
  <si>
    <t>Comisión por apertura</t>
  </si>
  <si>
    <t>Seguro de daños</t>
  </si>
  <si>
    <t>Seguro de vida</t>
  </si>
  <si>
    <t>Accesorios financiados</t>
  </si>
  <si>
    <t>Total</t>
  </si>
  <si>
    <t>Accesorios que se pagan de contado:</t>
  </si>
  <si>
    <t>Diferencia precio crédito vs contado</t>
  </si>
  <si>
    <t>Simplificación</t>
  </si>
  <si>
    <t># Pagos</t>
  </si>
  <si>
    <t>M13</t>
  </si>
  <si>
    <r>
      <t xml:space="preserve">Garantía y/o Accesorios </t>
    </r>
    <r>
      <rPr>
        <b/>
        <sz val="11"/>
        <color theme="1"/>
        <rFont val="Calibri"/>
        <family val="2"/>
        <scheme val="minor"/>
      </rPr>
      <t>Contado</t>
    </r>
  </si>
  <si>
    <r>
      <t xml:space="preserve">Garantía y/o Accesorios </t>
    </r>
    <r>
      <rPr>
        <b/>
        <sz val="11"/>
        <color theme="1"/>
        <rFont val="Calibri"/>
        <family val="2"/>
        <scheme val="minor"/>
      </rPr>
      <t>Financiados</t>
    </r>
  </si>
  <si>
    <t>Accesorios contado</t>
  </si>
  <si>
    <t>Cotizador</t>
  </si>
  <si>
    <t>Monto a Financiar en Cotización</t>
  </si>
  <si>
    <t>TABLA DE AMORTIZACIÓN</t>
  </si>
  <si>
    <t>Nombre del cliente:</t>
  </si>
  <si>
    <t>Folio:</t>
  </si>
  <si>
    <t>Tasa de Interés:</t>
  </si>
  <si>
    <t>Forma de pago:</t>
  </si>
  <si>
    <t>Seguro de vida:</t>
  </si>
  <si>
    <t>No. De Pago</t>
  </si>
  <si>
    <t>Fecha (dd/mm/yyyy)</t>
  </si>
  <si>
    <t xml:space="preserve">Saldo Vehículo </t>
  </si>
  <si>
    <t xml:space="preserve">Saldo Seguro Vehículo </t>
  </si>
  <si>
    <t>Saldo Accesorios</t>
  </si>
  <si>
    <t>Pago a Capital</t>
  </si>
  <si>
    <t>Pago a Intereses</t>
  </si>
  <si>
    <t>IVA de los Intereses</t>
  </si>
  <si>
    <t>Pago Total</t>
  </si>
  <si>
    <t>Importe total a pagar:</t>
  </si>
  <si>
    <t>FIRMA DEL CLIENTE</t>
  </si>
  <si>
    <t>Seguro daños</t>
  </si>
  <si>
    <t>Externo</t>
  </si>
  <si>
    <t>Nuevo</t>
  </si>
  <si>
    <t>Seminuevo</t>
  </si>
  <si>
    <t>Moto</t>
  </si>
  <si>
    <t>Tipo de Vehículo</t>
  </si>
  <si>
    <t>Daños_Externo</t>
  </si>
  <si>
    <t>Accesorios Contado:</t>
  </si>
  <si>
    <t>Accesorios Financiados:</t>
  </si>
  <si>
    <t>GE</t>
  </si>
  <si>
    <t>SRA</t>
  </si>
  <si>
    <t>GAP</t>
  </si>
  <si>
    <t>COBERTURAS ADICIONALES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</si>
</sst>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* #,##0_-;\-&quot;$&quot;* #,##0_-;_-&quot;$&quot;* &quot;-&quot;??_-;_-@_-"/>
    <numFmt numFmtId="165" formatCode="&quot;$&quot;#,##0.00"/>
    <numFmt numFmtId="166" formatCode="0.0%"/>
    <numFmt numFmtId="167" formatCode="0.000"/>
    <numFmt numFmtId="168" formatCode="#,##0.00_ ;\-#,##0.00\ 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 style="dashDotDot">
        <color theme="0" tint="-0.34998626667073579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34998626667073579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/>
      <top style="dashDotDot">
        <color theme="0" tint="-0.34998626667073579"/>
      </top>
      <bottom style="dashDotDot">
        <color theme="0" tint="-0.34998626667073579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dashDotDot">
        <color theme="0" tint="-0.34998626667073579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dashDotDot">
        <color theme="0" tint="-0.34998626667073579"/>
      </left>
      <right style="medium">
        <color theme="0" tint="-0.34998626667073579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medium">
        <color theme="0" tint="-0.499984740745262"/>
      </left>
      <right style="dashDotDot">
        <color theme="0" tint="-0.34998626667073579"/>
      </right>
      <top style="medium">
        <color theme="0" tint="-0.499984740745262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medium">
        <color theme="0" tint="-0.499984740745262"/>
      </left>
      <right style="dashDotDot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82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vertical="center"/>
    </xf>
    <xf numFmtId="44" fontId="0" fillId="3" borderId="0" xfId="1" applyFont="1" applyFill="1" applyAlignment="1">
      <alignment vertical="center"/>
    </xf>
    <xf numFmtId="44" fontId="0" fillId="3" borderId="0" xfId="0" applyNumberFormat="1" applyFill="1" applyAlignment="1">
      <alignment vertical="center"/>
    </xf>
    <xf numFmtId="0" fontId="0" fillId="3" borderId="0" xfId="0" applyFill="1" applyAlignment="1">
      <alignment horizontal="center" vertical="center"/>
    </xf>
    <xf numFmtId="8" fontId="0" fillId="3" borderId="0" xfId="0" applyNumberFormat="1" applyFill="1" applyAlignment="1">
      <alignment vertical="center"/>
    </xf>
    <xf numFmtId="14" fontId="0" fillId="3" borderId="0" xfId="0" applyNumberForma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4" fontId="0" fillId="3" borderId="0" xfId="1" applyNumberFormat="1" applyFont="1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44" fontId="0" fillId="3" borderId="1" xfId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7" fillId="5" borderId="0" xfId="0" applyFont="1" applyFill="1" applyAlignment="1">
      <alignment vertic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 vertical="center"/>
    </xf>
    <xf numFmtId="165" fontId="0" fillId="3" borderId="0" xfId="0" applyNumberFormat="1" applyFill="1" applyAlignment="1">
      <alignment vertical="center"/>
    </xf>
    <xf numFmtId="9" fontId="0" fillId="3" borderId="0" xfId="0" applyNumberFormat="1" applyFill="1" applyAlignment="1">
      <alignment vertical="center"/>
    </xf>
    <xf numFmtId="10" fontId="0" fillId="3" borderId="0" xfId="0" applyNumberFormat="1" applyFill="1" applyAlignment="1">
      <alignment horizontal="center" vertical="center"/>
    </xf>
    <xf numFmtId="9" fontId="0" fillId="3" borderId="0" xfId="2" applyFont="1" applyFill="1" applyAlignment="1">
      <alignment horizontal="center" vertical="center"/>
    </xf>
    <xf numFmtId="165" fontId="0" fillId="3" borderId="0" xfId="2" applyNumberFormat="1" applyFont="1" applyFill="1" applyAlignment="1">
      <alignment vertical="center"/>
    </xf>
    <xf numFmtId="165" fontId="2" fillId="3" borderId="0" xfId="0" applyNumberFormat="1" applyFont="1" applyFill="1" applyAlignment="1">
      <alignment vertical="center"/>
    </xf>
    <xf numFmtId="1" fontId="0" fillId="3" borderId="0" xfId="0" applyNumberForma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horizontal="right" vertical="center" indent="2"/>
    </xf>
    <xf numFmtId="0" fontId="2" fillId="3" borderId="0" xfId="0" applyFont="1" applyFill="1" applyAlignment="1">
      <alignment horizontal="right" vertical="center" indent="2"/>
    </xf>
    <xf numFmtId="0" fontId="7" fillId="5" borderId="0" xfId="0" applyFont="1" applyFill="1" applyAlignment="1">
      <alignment horizontal="right" vertical="center" indent="2"/>
    </xf>
    <xf numFmtId="0" fontId="0" fillId="3" borderId="0" xfId="0" applyFill="1" applyAlignment="1">
      <alignment horizontal="left" vertical="center"/>
    </xf>
    <xf numFmtId="166" fontId="7" fillId="5" borderId="0" xfId="0" applyNumberFormat="1" applyFont="1" applyFill="1" applyAlignment="1">
      <alignment horizontal="center" vertical="center"/>
    </xf>
    <xf numFmtId="10" fontId="0" fillId="3" borderId="0" xfId="2" applyNumberFormat="1" applyFont="1" applyFill="1" applyAlignment="1">
      <alignment horizontal="center" vertical="center"/>
    </xf>
    <xf numFmtId="8" fontId="2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0" fillId="6" borderId="2" xfId="0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8" fillId="6" borderId="0" xfId="0" applyFont="1" applyFill="1" applyAlignment="1">
      <alignment horizontal="right" vertical="center"/>
    </xf>
    <xf numFmtId="164" fontId="0" fillId="3" borderId="0" xfId="0" applyNumberFormat="1" applyFill="1" applyAlignment="1">
      <alignment vertical="center"/>
    </xf>
    <xf numFmtId="14" fontId="0" fillId="3" borderId="0" xfId="0" applyNumberFormat="1" applyFill="1"/>
    <xf numFmtId="0" fontId="0" fillId="3" borderId="0" xfId="0" applyFill="1" applyAlignment="1">
      <alignment horizontal="right"/>
    </xf>
    <xf numFmtId="14" fontId="0" fillId="3" borderId="0" xfId="0" applyNumberFormat="1" applyFill="1" applyAlignment="1">
      <alignment horizontal="center"/>
    </xf>
    <xf numFmtId="8" fontId="0" fillId="3" borderId="1" xfId="1" applyNumberFormat="1" applyFont="1" applyFill="1" applyBorder="1" applyAlignment="1">
      <alignment horizontal="center" vertical="center"/>
    </xf>
    <xf numFmtId="44" fontId="0" fillId="6" borderId="2" xfId="0" applyNumberFormat="1" applyFill="1" applyBorder="1" applyAlignment="1">
      <alignment vertical="center"/>
    </xf>
    <xf numFmtId="44" fontId="0" fillId="3" borderId="0" xfId="0" applyNumberFormat="1" applyFill="1" applyAlignment="1">
      <alignment horizontal="center" vertical="center"/>
    </xf>
    <xf numFmtId="44" fontId="0" fillId="6" borderId="0" xfId="1" applyFont="1" applyFill="1" applyAlignment="1">
      <alignment vertical="center"/>
    </xf>
    <xf numFmtId="14" fontId="0" fillId="3" borderId="0" xfId="1" applyNumberFormat="1" applyFont="1" applyFill="1" applyAlignment="1">
      <alignment horizontal="center" vertical="center"/>
    </xf>
    <xf numFmtId="8" fontId="0" fillId="3" borderId="0" xfId="1" applyNumberFormat="1" applyFont="1" applyFill="1" applyBorder="1" applyAlignment="1">
      <alignment horizontal="right" vertical="center"/>
    </xf>
    <xf numFmtId="167" fontId="0" fillId="3" borderId="0" xfId="0" applyNumberFormat="1" applyFill="1" applyAlignment="1">
      <alignment horizontal="center" vertical="center"/>
    </xf>
    <xf numFmtId="168" fontId="0" fillId="0" borderId="0" xfId="3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44" fontId="0" fillId="0" borderId="0" xfId="1" applyFont="1" applyFill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Alignment="1">
      <alignment horizontal="center" vertical="center"/>
    </xf>
    <xf numFmtId="14" fontId="0" fillId="3" borderId="0" xfId="1" applyNumberFormat="1" applyFont="1" applyFill="1" applyBorder="1" applyAlignment="1">
      <alignment vertical="center"/>
    </xf>
    <xf numFmtId="44" fontId="0" fillId="3" borderId="0" xfId="1" applyFont="1" applyFill="1" applyBorder="1" applyAlignment="1">
      <alignment vertical="center"/>
    </xf>
    <xf numFmtId="44" fontId="0" fillId="0" borderId="0" xfId="1" applyFont="1" applyFill="1" applyBorder="1" applyAlignment="1">
      <alignment vertical="center"/>
    </xf>
    <xf numFmtId="44" fontId="3" fillId="3" borderId="0" xfId="0" applyNumberFormat="1" applyFont="1" applyFill="1" applyAlignment="1">
      <alignment vertical="center"/>
    </xf>
    <xf numFmtId="8" fontId="3" fillId="3" borderId="0" xfId="0" applyNumberFormat="1" applyFont="1" applyFill="1" applyAlignment="1">
      <alignment vertical="center"/>
    </xf>
    <xf numFmtId="43" fontId="0" fillId="3" borderId="0" xfId="3" applyFont="1" applyFill="1" applyAlignment="1">
      <alignment vertical="center"/>
    </xf>
    <xf numFmtId="0" fontId="0" fillId="3" borderId="14" xfId="0" applyFill="1" applyBorder="1" applyAlignment="1">
      <alignment horizontal="right" vertical="center" indent="1"/>
    </xf>
    <xf numFmtId="165" fontId="0" fillId="7" borderId="15" xfId="0" applyNumberFormat="1" applyFill="1" applyBorder="1" applyAlignment="1">
      <alignment horizontal="center" vertical="center"/>
    </xf>
    <xf numFmtId="165" fontId="0" fillId="7" borderId="16" xfId="0" applyNumberFormat="1" applyFill="1" applyBorder="1" applyAlignment="1">
      <alignment horizontal="center" vertical="center"/>
    </xf>
    <xf numFmtId="10" fontId="0" fillId="3" borderId="17" xfId="2" applyNumberFormat="1" applyFont="1" applyFill="1" applyBorder="1" applyAlignment="1">
      <alignment horizontal="center" vertical="center"/>
    </xf>
    <xf numFmtId="0" fontId="0" fillId="3" borderId="18" xfId="0" applyFill="1" applyBorder="1" applyAlignment="1">
      <alignment horizontal="right" vertical="center" indent="1"/>
    </xf>
    <xf numFmtId="165" fontId="0" fillId="3" borderId="19" xfId="0" applyNumberFormat="1" applyFill="1" applyBorder="1" applyAlignment="1">
      <alignment horizontal="center" vertical="center"/>
    </xf>
    <xf numFmtId="0" fontId="0" fillId="3" borderId="20" xfId="0" applyFill="1" applyBorder="1" applyAlignment="1">
      <alignment horizontal="right" vertical="center" indent="1"/>
    </xf>
    <xf numFmtId="0" fontId="0" fillId="7" borderId="21" xfId="0" applyFill="1" applyBorder="1" applyAlignment="1">
      <alignment horizontal="center" vertical="center"/>
    </xf>
    <xf numFmtId="10" fontId="0" fillId="7" borderId="22" xfId="0" applyNumberFormat="1" applyFill="1" applyBorder="1" applyAlignment="1">
      <alignment horizontal="center" vertical="center"/>
    </xf>
    <xf numFmtId="10" fontId="0" fillId="7" borderId="23" xfId="0" applyNumberFormat="1" applyFill="1" applyBorder="1" applyAlignment="1">
      <alignment horizontal="center" vertical="center"/>
    </xf>
    <xf numFmtId="0" fontId="0" fillId="3" borderId="24" xfId="0" applyFill="1" applyBorder="1" applyAlignment="1">
      <alignment horizontal="right" vertical="center" indent="1"/>
    </xf>
    <xf numFmtId="165" fontId="0" fillId="3" borderId="25" xfId="0" applyNumberFormat="1" applyFill="1" applyBorder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right" vertical="center" indent="1"/>
    </xf>
    <xf numFmtId="165" fontId="0" fillId="3" borderId="0" xfId="0" applyNumberFormat="1" applyFill="1" applyAlignment="1">
      <alignment horizontal="right" vertical="center"/>
    </xf>
    <xf numFmtId="8" fontId="0" fillId="3" borderId="21" xfId="0" applyNumberFormat="1" applyFill="1" applyBorder="1" applyAlignment="1">
      <alignment horizontal="center" vertical="center"/>
    </xf>
    <xf numFmtId="8" fontId="0" fillId="3" borderId="22" xfId="0" applyNumberFormat="1" applyFill="1" applyBorder="1" applyAlignment="1">
      <alignment horizontal="center" vertical="center"/>
    </xf>
    <xf numFmtId="8" fontId="0" fillId="3" borderId="23" xfId="0" applyNumberFormat="1" applyFill="1" applyBorder="1" applyAlignment="1">
      <alignment horizontal="center" vertical="center"/>
    </xf>
    <xf numFmtId="8" fontId="0" fillId="3" borderId="0" xfId="0" applyNumberFormat="1" applyFill="1" applyAlignment="1">
      <alignment horizontal="right" vertical="center"/>
    </xf>
    <xf numFmtId="0" fontId="2" fillId="8" borderId="18" xfId="0" applyFont="1" applyFill="1" applyBorder="1" applyAlignment="1">
      <alignment horizontal="right" vertical="center" indent="1"/>
    </xf>
    <xf numFmtId="8" fontId="2" fillId="8" borderId="23" xfId="0" applyNumberFormat="1" applyFont="1" applyFill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65" fontId="0" fillId="2" borderId="0" xfId="0" applyNumberFormat="1" applyFill="1" applyAlignment="1">
      <alignment horizontal="center" vertical="center"/>
    </xf>
    <xf numFmtId="44" fontId="0" fillId="3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44" fontId="2" fillId="6" borderId="1" xfId="0" applyNumberFormat="1" applyFont="1" applyFill="1" applyBorder="1" applyAlignment="1">
      <alignment vertical="center"/>
    </xf>
    <xf numFmtId="8" fontId="0" fillId="3" borderId="0" xfId="0" applyNumberFormat="1" applyFill="1"/>
    <xf numFmtId="166" fontId="4" fillId="0" borderId="0" xfId="2" applyNumberFormat="1" applyFont="1" applyFill="1" applyBorder="1" applyAlignment="1">
      <alignment horizontal="center" vertical="center"/>
    </xf>
    <xf numFmtId="44" fontId="0" fillId="9" borderId="1" xfId="1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center" vertical="center"/>
      <protection locked="0"/>
    </xf>
    <xf numFmtId="44" fontId="0" fillId="9" borderId="1" xfId="0" applyNumberFormat="1" applyFill="1" applyBorder="1" applyAlignment="1" applyProtection="1">
      <alignment horizontal="center" vertical="center"/>
      <protection locked="0"/>
    </xf>
    <xf numFmtId="44" fontId="0" fillId="3" borderId="1" xfId="0" applyNumberFormat="1" applyFill="1" applyBorder="1" applyAlignment="1" applyProtection="1">
      <alignment horizontal="center" vertical="center"/>
      <protection locked="0"/>
    </xf>
    <xf numFmtId="44" fontId="0" fillId="3" borderId="1" xfId="1" applyFont="1" applyFill="1" applyBorder="1" applyAlignment="1" applyProtection="1">
      <alignment horizontal="center" vertical="center"/>
      <protection locked="0"/>
    </xf>
    <xf numFmtId="10" fontId="0" fillId="3" borderId="1" xfId="2" applyNumberFormat="1" applyFont="1" applyFill="1" applyBorder="1" applyAlignment="1" applyProtection="1">
      <alignment horizontal="center" vertical="center"/>
    </xf>
    <xf numFmtId="44" fontId="0" fillId="3" borderId="1" xfId="0" applyNumberFormat="1" applyFill="1" applyBorder="1" applyAlignment="1">
      <alignment horizontal="center" vertical="center"/>
    </xf>
    <xf numFmtId="44" fontId="0" fillId="3" borderId="1" xfId="1" applyFont="1" applyFill="1" applyBorder="1" applyAlignment="1" applyProtection="1">
      <alignment vertical="center"/>
    </xf>
    <xf numFmtId="14" fontId="10" fillId="6" borderId="0" xfId="0" applyNumberFormat="1" applyFont="1" applyFill="1" applyAlignment="1" applyProtection="1">
      <alignment horizontal="center" vertical="center"/>
      <protection locked="0"/>
    </xf>
    <xf numFmtId="0" fontId="0" fillId="10" borderId="0" xfId="0" applyFill="1" applyAlignment="1">
      <alignment vertical="center"/>
    </xf>
    <xf numFmtId="0" fontId="4" fillId="10" borderId="3" xfId="0" applyFont="1" applyFill="1" applyBorder="1" applyAlignment="1">
      <alignment vertical="center"/>
    </xf>
    <xf numFmtId="0" fontId="4" fillId="10" borderId="1" xfId="0" applyFont="1" applyFill="1" applyBorder="1" applyAlignment="1">
      <alignment vertical="center"/>
    </xf>
    <xf numFmtId="44" fontId="4" fillId="10" borderId="1" xfId="0" applyNumberFormat="1" applyFont="1" applyFill="1" applyBorder="1" applyAlignment="1">
      <alignment horizontal="center" vertical="center"/>
    </xf>
    <xf numFmtId="166" fontId="4" fillId="10" borderId="1" xfId="2" applyNumberFormat="1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26" xfId="0" applyFont="1" applyFill="1" applyBorder="1" applyAlignment="1">
      <alignment vertical="center"/>
    </xf>
    <xf numFmtId="0" fontId="4" fillId="10" borderId="10" xfId="0" applyFont="1" applyFill="1" applyBorder="1" applyAlignment="1">
      <alignment horizontal="center" vertical="center" wrapText="1"/>
    </xf>
    <xf numFmtId="0" fontId="4" fillId="10" borderId="11" xfId="0" applyFont="1" applyFill="1" applyBorder="1" applyAlignment="1">
      <alignment horizontal="center" vertical="center" wrapText="1"/>
    </xf>
    <xf numFmtId="0" fontId="4" fillId="10" borderId="12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/>
    </xf>
    <xf numFmtId="0" fontId="3" fillId="10" borderId="8" xfId="0" applyFont="1" applyFill="1" applyBorder="1" applyAlignment="1">
      <alignment horizontal="center" vertical="center"/>
    </xf>
    <xf numFmtId="0" fontId="3" fillId="10" borderId="9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2" fillId="6" borderId="3" xfId="0" applyFont="1" applyFill="1" applyBorder="1" applyAlignment="1">
      <alignment horizontal="left" vertical="center"/>
    </xf>
    <xf numFmtId="0" fontId="2" fillId="6" borderId="5" xfId="0" applyFont="1" applyFill="1" applyBorder="1" applyAlignment="1">
      <alignment horizontal="left" vertical="center"/>
    </xf>
    <xf numFmtId="0" fontId="2" fillId="2" borderId="0" xfId="0" applyFont="1" applyFill="1" applyAlignment="1">
      <alignment vertical="center"/>
    </xf>
    <xf numFmtId="8" fontId="8" fillId="3" borderId="2" xfId="1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14" fontId="0" fillId="6" borderId="0" xfId="1" applyNumberFormat="1" applyFont="1" applyFill="1" applyAlignment="1">
      <alignment horizontal="center" vertical="center"/>
    </xf>
    <xf numFmtId="44" fontId="0" fillId="6" borderId="0" xfId="0" applyNumberFormat="1" applyFill="1" applyAlignment="1">
      <alignment vertical="center"/>
    </xf>
    <xf numFmtId="14" fontId="0" fillId="6" borderId="0" xfId="1" applyNumberFormat="1" applyFont="1" applyFill="1" applyAlignment="1">
      <alignment vertical="center"/>
    </xf>
    <xf numFmtId="8" fontId="0" fillId="6" borderId="0" xfId="0" applyNumberFormat="1" applyFill="1" applyAlignment="1">
      <alignment vertical="center"/>
    </xf>
    <xf numFmtId="44" fontId="2" fillId="3" borderId="0" xfId="1" applyFont="1" applyFill="1" applyAlignment="1">
      <alignment vertical="center"/>
    </xf>
    <xf numFmtId="44" fontId="2" fillId="2" borderId="0" xfId="1" applyFont="1" applyFill="1" applyAlignment="1">
      <alignment vertical="center"/>
    </xf>
    <xf numFmtId="165" fontId="0" fillId="2" borderId="0" xfId="1" applyNumberFormat="1" applyFont="1" applyFill="1" applyAlignment="1">
      <alignment vertical="center"/>
    </xf>
    <xf numFmtId="165" fontId="2" fillId="3" borderId="0" xfId="1" applyNumberFormat="1" applyFont="1" applyFill="1" applyAlignment="1">
      <alignment vertical="center"/>
    </xf>
    <xf numFmtId="10" fontId="2" fillId="3" borderId="1" xfId="2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13" fillId="3" borderId="0" xfId="0" applyFont="1" applyFill="1"/>
    <xf numFmtId="0" fontId="14" fillId="3" borderId="0" xfId="0" applyFont="1" applyFill="1" applyAlignment="1">
      <alignment horizontal="right" vertical="center"/>
    </xf>
    <xf numFmtId="0" fontId="12" fillId="3" borderId="2" xfId="0" applyFont="1" applyFill="1" applyBorder="1" applyAlignment="1">
      <alignment horizontal="center"/>
    </xf>
    <xf numFmtId="8" fontId="14" fillId="3" borderId="0" xfId="0" applyNumberFormat="1" applyFont="1" applyFill="1" applyAlignment="1">
      <alignment horizontal="left" indent="1"/>
    </xf>
    <xf numFmtId="14" fontId="12" fillId="3" borderId="2" xfId="0" applyNumberFormat="1" applyFont="1" applyFill="1" applyBorder="1" applyAlignment="1">
      <alignment horizontal="center"/>
    </xf>
    <xf numFmtId="0" fontId="15" fillId="3" borderId="0" xfId="0" applyFont="1" applyFill="1" applyAlignment="1">
      <alignment horizontal="left"/>
    </xf>
    <xf numFmtId="0" fontId="14" fillId="3" borderId="0" xfId="0" applyFont="1" applyFill="1" applyAlignment="1">
      <alignment horizontal="right" indent="1"/>
    </xf>
    <xf numFmtId="0" fontId="15" fillId="3" borderId="0" xfId="0" applyFont="1" applyFill="1" applyAlignment="1">
      <alignment horizontal="center"/>
    </xf>
    <xf numFmtId="0" fontId="14" fillId="6" borderId="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 wrapText="1"/>
    </xf>
    <xf numFmtId="0" fontId="12" fillId="3" borderId="0" xfId="0" applyFont="1" applyFill="1" applyAlignment="1">
      <alignment horizontal="center"/>
    </xf>
    <xf numFmtId="14" fontId="12" fillId="3" borderId="0" xfId="0" applyNumberFormat="1" applyFont="1" applyFill="1" applyAlignment="1">
      <alignment horizontal="center"/>
    </xf>
    <xf numFmtId="44" fontId="12" fillId="3" borderId="0" xfId="0" applyNumberFormat="1" applyFont="1" applyFill="1"/>
    <xf numFmtId="0" fontId="12" fillId="3" borderId="0" xfId="0" applyFont="1" applyFill="1" applyAlignment="1">
      <alignment horizontal="right"/>
    </xf>
    <xf numFmtId="44" fontId="14" fillId="3" borderId="0" xfId="0" applyNumberFormat="1" applyFont="1" applyFill="1"/>
    <xf numFmtId="44" fontId="14" fillId="3" borderId="4" xfId="0" applyNumberFormat="1" applyFont="1" applyFill="1" applyBorder="1" applyAlignment="1">
      <alignment horizontal="left" vertical="center"/>
    </xf>
    <xf numFmtId="0" fontId="14" fillId="3" borderId="4" xfId="0" applyFont="1" applyFill="1" applyBorder="1" applyAlignment="1">
      <alignment horizontal="left" vertical="center"/>
    </xf>
    <xf numFmtId="10" fontId="14" fillId="3" borderId="4" xfId="0" applyNumberFormat="1" applyFont="1" applyFill="1" applyBorder="1" applyAlignment="1">
      <alignment horizontal="left" vertical="center"/>
    </xf>
    <xf numFmtId="165" fontId="14" fillId="3" borderId="2" xfId="0" applyNumberFormat="1" applyFont="1" applyFill="1" applyBorder="1" applyAlignment="1">
      <alignment horizontal="left" vertical="center"/>
    </xf>
    <xf numFmtId="165" fontId="14" fillId="3" borderId="4" xfId="0" applyNumberFormat="1" applyFont="1" applyFill="1" applyBorder="1" applyAlignment="1">
      <alignment horizontal="left" vertical="center"/>
    </xf>
    <xf numFmtId="10" fontId="0" fillId="3" borderId="0" xfId="0" applyNumberFormat="1" applyFill="1" applyAlignment="1">
      <alignment vertical="center"/>
    </xf>
    <xf numFmtId="0" fontId="2" fillId="0" borderId="0" xfId="0" applyFont="1"/>
    <xf numFmtId="44" fontId="0" fillId="9" borderId="1" xfId="1" applyFont="1" applyFill="1" applyBorder="1" applyAlignment="1" applyProtection="1">
      <alignment horizontal="right" vertical="center"/>
      <protection locked="0"/>
    </xf>
    <xf numFmtId="0" fontId="0" fillId="0" borderId="0" xfId="2" applyNumberFormat="1" applyFont="1"/>
    <xf numFmtId="166" fontId="0" fillId="3" borderId="0" xfId="2" applyNumberFormat="1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4" fillId="10" borderId="0" xfId="0" applyFont="1" applyFill="1" applyAlignment="1">
      <alignment horizontal="center" wrapText="1"/>
    </xf>
    <xf numFmtId="0" fontId="4" fillId="10" borderId="2" xfId="0" applyFont="1" applyFill="1" applyBorder="1" applyAlignment="1">
      <alignment horizontal="center" wrapText="1"/>
    </xf>
    <xf numFmtId="0" fontId="4" fillId="10" borderId="3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4" fillId="10" borderId="5" xfId="0" applyFont="1" applyFill="1" applyBorder="1" applyAlignment="1">
      <alignment horizontal="center" vertical="center"/>
    </xf>
    <xf numFmtId="0" fontId="4" fillId="10" borderId="30" xfId="0" applyFont="1" applyFill="1" applyBorder="1" applyAlignment="1">
      <alignment horizontal="center" vertical="center"/>
    </xf>
    <xf numFmtId="0" fontId="4" fillId="10" borderId="31" xfId="0" applyFont="1" applyFill="1" applyBorder="1" applyAlignment="1">
      <alignment horizontal="center" vertical="center"/>
    </xf>
    <xf numFmtId="4" fontId="0" fillId="3" borderId="30" xfId="0" applyNumberFormat="1" applyFill="1" applyBorder="1" applyAlignment="1">
      <alignment horizontal="center" vertical="center"/>
    </xf>
    <xf numFmtId="4" fontId="0" fillId="3" borderId="31" xfId="0" applyNumberFormat="1" applyFill="1" applyBorder="1" applyAlignment="1">
      <alignment horizontal="center" vertical="center"/>
    </xf>
    <xf numFmtId="0" fontId="4" fillId="10" borderId="27" xfId="0" applyFont="1" applyFill="1" applyBorder="1" applyAlignment="1">
      <alignment horizontal="center" vertical="center"/>
    </xf>
    <xf numFmtId="0" fontId="4" fillId="10" borderId="28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4" fillId="3" borderId="2" xfId="0" applyFont="1" applyFill="1" applyBorder="1" applyAlignment="1">
      <alignment horizontal="left" indent="1"/>
    </xf>
    <xf numFmtId="0" fontId="12" fillId="3" borderId="2" xfId="0" applyFont="1" applyFill="1" applyBorder="1" applyAlignment="1">
      <alignment horizontal="center"/>
    </xf>
    <xf numFmtId="0" fontId="14" fillId="3" borderId="29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E60000"/>
      <color rgb="FFEA0000"/>
      <color rgb="FFF20000"/>
      <color rgb="FFE20000"/>
      <color rgb="FFF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59325</xdr:colOff>
      <xdr:row>0</xdr:row>
      <xdr:rowOff>131846</xdr:rowOff>
    </xdr:from>
    <xdr:to>
      <xdr:col>1</xdr:col>
      <xdr:colOff>346317</xdr:colOff>
      <xdr:row>1</xdr:row>
      <xdr:rowOff>79028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800" y="131846"/>
          <a:ext cx="286992" cy="2805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kprovider.sharepoint.com/Users/Z046826/AppData/Local/Microsoft/Windows/INetCache/Content.Outlook/RXI3U8WD/Calculadora%20Subsid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s 9,500 y 10,500"/>
      <sheetName val="Catálogo"/>
      <sheetName val="Simulador Subsidio"/>
      <sheetName val="Hoja1"/>
      <sheetName val="Hoja2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B111"/>
  <sheetViews>
    <sheetView showGridLines="0" tabSelected="1" topLeftCell="B1" zoomScale="99" zoomScaleNormal="99" workbookViewId="0">
      <selection activeCell="I2" sqref="I2"/>
    </sheetView>
  </sheetViews>
  <sheetFormatPr baseColWidth="10" defaultColWidth="11.44140625" defaultRowHeight="14.4" outlineLevelCol="1" x14ac:dyDescent="0.3"/>
  <cols>
    <col min="1" max="1" width="5.5546875" style="3" hidden="1" customWidth="1"/>
    <col min="2" max="2" width="38.5546875" style="3" customWidth="1"/>
    <col min="3" max="3" width="30.33203125" style="3" customWidth="1"/>
    <col min="4" max="8" width="17.88671875" style="3" customWidth="1"/>
    <col min="9" max="9" width="21.109375" style="3" bestFit="1" customWidth="1"/>
    <col min="10" max="10" width="15.33203125" style="3" customWidth="1"/>
    <col min="11" max="11" width="12.88671875" style="3" customWidth="1"/>
    <col min="12" max="12" width="30.6640625" style="3" customWidth="1" outlineLevel="1"/>
    <col min="13" max="13" width="15" style="3" customWidth="1" outlineLevel="1"/>
    <col min="14" max="14" width="15.33203125" style="3" customWidth="1" outlineLevel="1"/>
    <col min="15" max="16" width="12.109375" style="3" customWidth="1" outlineLevel="1"/>
    <col min="17" max="17" width="12.6640625" style="3" customWidth="1" outlineLevel="1"/>
    <col min="18" max="19" width="14.6640625" style="3" customWidth="1" outlineLevel="1"/>
    <col min="20" max="20" width="13.109375" style="3" customWidth="1" outlineLevel="1"/>
    <col min="21" max="21" width="11.44140625" style="3" customWidth="1" outlineLevel="1"/>
    <col min="22" max="22" width="32.5546875" style="3" customWidth="1" outlineLevel="1"/>
    <col min="23" max="23" width="15" style="3" customWidth="1" outlineLevel="1"/>
    <col min="24" max="24" width="15.33203125" style="3" customWidth="1" outlineLevel="1"/>
    <col min="25" max="25" width="12" style="3" customWidth="1" outlineLevel="1"/>
    <col min="26" max="26" width="11.109375" style="3" customWidth="1" outlineLevel="1"/>
    <col min="27" max="27" width="12.33203125" style="3" customWidth="1" outlineLevel="1"/>
    <col min="28" max="29" width="14.6640625" style="3" customWidth="1" outlineLevel="1"/>
    <col min="30" max="30" width="13.109375" style="3" customWidth="1" outlineLevel="1"/>
    <col min="31" max="31" width="11.44140625" style="3" customWidth="1" outlineLevel="1"/>
    <col min="32" max="32" width="30.6640625" style="3" customWidth="1" outlineLevel="1"/>
    <col min="33" max="33" width="15" style="3" customWidth="1" outlineLevel="1"/>
    <col min="34" max="34" width="15.33203125" style="3" customWidth="1" outlineLevel="1"/>
    <col min="35" max="37" width="11.109375" style="3" customWidth="1" outlineLevel="1"/>
    <col min="38" max="39" width="14.6640625" style="3" customWidth="1" outlineLevel="1"/>
    <col min="40" max="40" width="13.109375" style="3" customWidth="1" outlineLevel="1"/>
    <col min="41" max="41" width="11.44140625" style="3" customWidth="1" outlineLevel="1"/>
    <col min="42" max="42" width="30.6640625" style="3" customWidth="1" outlineLevel="1"/>
    <col min="43" max="43" width="15" style="3" customWidth="1" outlineLevel="1"/>
    <col min="44" max="44" width="15.33203125" style="3" customWidth="1" outlineLevel="1"/>
    <col min="45" max="47" width="12.109375" style="3" customWidth="1" outlineLevel="1"/>
    <col min="48" max="49" width="14.6640625" style="3" customWidth="1" outlineLevel="1"/>
    <col min="50" max="51" width="11.44140625" style="3" customWidth="1" outlineLevel="1"/>
    <col min="52" max="52" width="30.88671875" style="3" customWidth="1" outlineLevel="1"/>
    <col min="53" max="53" width="13.5546875" style="3" customWidth="1" outlineLevel="1"/>
    <col min="54" max="54" width="14.88671875" style="3" customWidth="1" outlineLevel="1"/>
    <col min="55" max="56" width="12.109375" style="3" customWidth="1" outlineLevel="1"/>
    <col min="57" max="57" width="13.33203125" style="3" customWidth="1" outlineLevel="1"/>
    <col min="58" max="58" width="15" style="3" customWidth="1" outlineLevel="1"/>
    <col min="59" max="59" width="13.44140625" style="3" customWidth="1" outlineLevel="1"/>
    <col min="60" max="60" width="13.33203125" style="3" customWidth="1" outlineLevel="1"/>
    <col min="61" max="61" width="15.6640625" style="3" customWidth="1" outlineLevel="1"/>
    <col min="62" max="63" width="13.33203125" style="3" customWidth="1" outlineLevel="1"/>
    <col min="64" max="65" width="11.44140625" style="3" customWidth="1" outlineLevel="1"/>
    <col min="66" max="66" width="14.44140625" style="3" customWidth="1" outlineLevel="1"/>
    <col min="67" max="68" width="11.44140625" style="3" customWidth="1" outlineLevel="1"/>
    <col min="69" max="69" width="12.88671875" style="3" customWidth="1" outlineLevel="1"/>
    <col min="70" max="70" width="11.44140625" style="3" customWidth="1" outlineLevel="1"/>
    <col min="71" max="71" width="12.109375" style="3" bestFit="1" customWidth="1" outlineLevel="1"/>
    <col min="72" max="73" width="11.44140625" style="3"/>
    <col min="74" max="74" width="12.33203125" style="3" bestFit="1" customWidth="1"/>
    <col min="75" max="81" width="11.44140625" style="3"/>
    <col min="82" max="82" width="15.109375" style="3" bestFit="1" customWidth="1"/>
    <col min="83" max="83" width="15.5546875" style="3" bestFit="1" customWidth="1"/>
    <col min="84" max="84" width="9.5546875" style="3" bestFit="1" customWidth="1"/>
    <col min="85" max="85" width="11.33203125" style="3" bestFit="1" customWidth="1"/>
    <col min="86" max="86" width="9.5546875" style="3" bestFit="1" customWidth="1"/>
    <col min="87" max="88" width="15" style="3" bestFit="1" customWidth="1"/>
    <col min="89" max="16384" width="11.44140625" style="3"/>
  </cols>
  <sheetData>
    <row r="1" spans="1:11" ht="25.8" x14ac:dyDescent="0.3">
      <c r="A1" s="97"/>
      <c r="B1" s="154" t="s">
        <v>139</v>
      </c>
      <c r="C1" s="14"/>
      <c r="D1" s="14"/>
      <c r="E1" s="14"/>
      <c r="F1" s="14"/>
      <c r="G1" s="14"/>
      <c r="H1" s="37" t="s">
        <v>0</v>
      </c>
      <c r="I1" s="96">
        <v>45295</v>
      </c>
    </row>
    <row r="2" spans="1:11" ht="15" customHeight="1" x14ac:dyDescent="0.3">
      <c r="A2" s="97"/>
      <c r="B2" s="154"/>
      <c r="C2" s="97"/>
      <c r="D2" s="97"/>
      <c r="E2" s="97"/>
      <c r="F2" s="97"/>
      <c r="G2" s="97"/>
      <c r="H2" s="97"/>
      <c r="I2" s="97"/>
    </row>
    <row r="3" spans="1:11" ht="15" customHeight="1" x14ac:dyDescent="0.3">
      <c r="B3" s="98" t="s">
        <v>29</v>
      </c>
      <c r="C3" s="81"/>
    </row>
    <row r="4" spans="1:11" ht="14.25" customHeight="1" x14ac:dyDescent="0.3">
      <c r="B4" s="13" t="s">
        <v>163</v>
      </c>
      <c r="C4" s="151" t="s">
        <v>160</v>
      </c>
      <c r="F4" s="161" t="s">
        <v>30</v>
      </c>
      <c r="G4" s="162"/>
      <c r="H4" s="81"/>
    </row>
    <row r="5" spans="1:11" x14ac:dyDescent="0.3">
      <c r="B5" s="13" t="s">
        <v>31</v>
      </c>
      <c r="C5" s="88">
        <v>537900</v>
      </c>
      <c r="F5" s="163" t="str">
        <f>CONCATENATE("Plazo a"," ",$C$19," ","meses")</f>
        <v>Plazo a 12 meses</v>
      </c>
      <c r="G5" s="164"/>
      <c r="H5" s="12">
        <f>SUM(I35:I107)</f>
        <v>550431.7141176142</v>
      </c>
    </row>
    <row r="6" spans="1:11" x14ac:dyDescent="0.3">
      <c r="B6" s="13" t="s">
        <v>32</v>
      </c>
      <c r="C6" s="88">
        <v>53790</v>
      </c>
      <c r="D6" s="127">
        <f>C6/C5</f>
        <v>0.1</v>
      </c>
    </row>
    <row r="7" spans="1:11" x14ac:dyDescent="0.3">
      <c r="B7" s="13" t="s">
        <v>33</v>
      </c>
      <c r="C7" s="94">
        <f>C5-C6</f>
        <v>484110</v>
      </c>
      <c r="D7" s="5">
        <f>C5*D6</f>
        <v>53790</v>
      </c>
      <c r="F7" s="161" t="s">
        <v>30</v>
      </c>
      <c r="G7" s="165"/>
      <c r="H7" s="84"/>
    </row>
    <row r="8" spans="1:11" x14ac:dyDescent="0.3">
      <c r="B8" s="13"/>
      <c r="C8" s="91"/>
      <c r="D8" s="5"/>
      <c r="F8" s="163" t="str">
        <f>CONCATENATE("Plazo a"," ",$C$19," ","meses")</f>
        <v>Plazo a 12 meses</v>
      </c>
      <c r="G8" s="164"/>
      <c r="H8" s="83">
        <f>SUM(I35:I107)</f>
        <v>550431.7141176142</v>
      </c>
    </row>
    <row r="9" spans="1:11" x14ac:dyDescent="0.3">
      <c r="B9" s="13" t="s">
        <v>36</v>
      </c>
      <c r="C9" s="89" t="s">
        <v>25</v>
      </c>
    </row>
    <row r="10" spans="1:11" x14ac:dyDescent="0.3">
      <c r="B10" s="13" t="s">
        <v>37</v>
      </c>
      <c r="C10" s="90" t="s">
        <v>28</v>
      </c>
      <c r="E10" s="59"/>
      <c r="F10" s="161" t="s">
        <v>34</v>
      </c>
      <c r="G10" s="165"/>
      <c r="H10" s="84"/>
    </row>
    <row r="11" spans="1:11" x14ac:dyDescent="0.3">
      <c r="B11" s="13" t="s">
        <v>39</v>
      </c>
      <c r="C11" s="90">
        <v>0</v>
      </c>
      <c r="D11" s="90" t="str">
        <f>IF(AND($C$9="Externo",$C$4="Nuevo"),$C$5*Hoja2!$A$17,IF(AND($C$9="Externo",$C$4="Seminuevo"),$C$5*Hoja2!$B$17,IF(AND($C$9="Externo",$C$4="Moto"),$C$5*Hoja2!$C$17,"")))</f>
        <v/>
      </c>
      <c r="F11" s="163" t="s">
        <v>35</v>
      </c>
      <c r="G11" s="164"/>
      <c r="H11" s="83">
        <f>IFERROR(Subsidio!B28,0)</f>
        <v>0</v>
      </c>
      <c r="K11" s="4"/>
    </row>
    <row r="12" spans="1:11" x14ac:dyDescent="0.3">
      <c r="B12" s="13" t="s">
        <v>41</v>
      </c>
      <c r="C12" s="90">
        <v>0</v>
      </c>
      <c r="D12" s="7"/>
      <c r="K12" s="4"/>
    </row>
    <row r="13" spans="1:11" x14ac:dyDescent="0.3">
      <c r="B13" s="13" t="s">
        <v>43</v>
      </c>
      <c r="C13" s="90">
        <v>0</v>
      </c>
      <c r="D13" s="166" t="s">
        <v>167</v>
      </c>
      <c r="E13" s="167"/>
      <c r="F13" s="161" t="s">
        <v>38</v>
      </c>
      <c r="G13" s="165"/>
      <c r="H13" s="84"/>
      <c r="K13" s="4"/>
    </row>
    <row r="14" spans="1:11" x14ac:dyDescent="0.3">
      <c r="B14" s="13" t="s">
        <v>44</v>
      </c>
      <c r="C14" s="95">
        <f>C12+(C13*(C19-24)/12)</f>
        <v>0</v>
      </c>
      <c r="D14" s="168">
        <v>2344.5500000000002</v>
      </c>
      <c r="E14" s="169"/>
      <c r="F14" s="112" t="s">
        <v>40</v>
      </c>
      <c r="G14" s="113"/>
      <c r="H14" s="83">
        <f>C7</f>
        <v>484110</v>
      </c>
      <c r="K14" s="5"/>
    </row>
    <row r="15" spans="1:11" x14ac:dyDescent="0.3">
      <c r="B15" s="13" t="s">
        <v>46</v>
      </c>
      <c r="C15" s="94">
        <v>800</v>
      </c>
      <c r="D15" s="166" t="s">
        <v>168</v>
      </c>
      <c r="E15" s="167"/>
      <c r="F15" s="112" t="s">
        <v>42</v>
      </c>
      <c r="G15" s="113"/>
      <c r="H15" s="83">
        <f>C22</f>
        <v>11957.189473599999</v>
      </c>
      <c r="I15" s="5"/>
    </row>
    <row r="16" spans="1:11" x14ac:dyDescent="0.3">
      <c r="B16" s="13" t="s">
        <v>137</v>
      </c>
      <c r="C16" s="92">
        <f>D22+D20</f>
        <v>30486.097999999998</v>
      </c>
      <c r="D16" s="168">
        <v>8736.34</v>
      </c>
      <c r="E16" s="169"/>
      <c r="F16" s="112" t="s">
        <v>45</v>
      </c>
      <c r="G16" s="113"/>
      <c r="H16" s="83">
        <f>IF(OR(C9="CONTADO",C9="GRATIS"),C11,0)</f>
        <v>0</v>
      </c>
    </row>
    <row r="17" spans="2:69" x14ac:dyDescent="0.3">
      <c r="B17" s="13" t="s">
        <v>136</v>
      </c>
      <c r="C17" s="92">
        <v>0</v>
      </c>
      <c r="D17" s="166" t="s">
        <v>169</v>
      </c>
      <c r="E17" s="167"/>
      <c r="F17" s="112" t="s">
        <v>47</v>
      </c>
      <c r="G17" s="113"/>
      <c r="H17" s="83">
        <f>C16</f>
        <v>30486.097999999998</v>
      </c>
    </row>
    <row r="18" spans="2:69" x14ac:dyDescent="0.3">
      <c r="B18" s="99" t="s">
        <v>140</v>
      </c>
      <c r="C18" s="100">
        <f>$C$7+$C$15+$C$16+IF(AND($C$9="Financiado",$C$10="Multianual Financiado"),$C$11,+IF(AND($C$9="Financiado",$C$10="Multianual Fraccionado"),$C$11,+IF(AND($C$9="Financiado",$C$10="Anual"),$C$11,0)))</f>
        <v>515396.098</v>
      </c>
      <c r="D18" s="5">
        <f>(E18*C5)*1.16</f>
        <v>13727.207999999999</v>
      </c>
      <c r="E18" s="153">
        <v>2.1999999999999999E-2</v>
      </c>
      <c r="F18" s="112" t="s">
        <v>48</v>
      </c>
      <c r="G18" s="113"/>
      <c r="H18" s="88" t="s">
        <v>49</v>
      </c>
    </row>
    <row r="19" spans="2:69" x14ac:dyDescent="0.3">
      <c r="B19" s="13" t="s">
        <v>51</v>
      </c>
      <c r="C19" s="89">
        <v>12</v>
      </c>
      <c r="D19" s="166" t="s">
        <v>129</v>
      </c>
      <c r="E19" s="167"/>
      <c r="F19" s="112" t="s">
        <v>50</v>
      </c>
      <c r="G19" s="113"/>
      <c r="H19" s="83">
        <f>H11</f>
        <v>0</v>
      </c>
    </row>
    <row r="20" spans="2:69" x14ac:dyDescent="0.3">
      <c r="B20" s="13" t="s">
        <v>53</v>
      </c>
      <c r="C20" s="93">
        <v>0.1</v>
      </c>
      <c r="D20" s="168">
        <v>5678</v>
      </c>
      <c r="E20" s="169"/>
      <c r="F20" s="114" t="s">
        <v>52</v>
      </c>
      <c r="G20" s="115"/>
      <c r="H20" s="85">
        <f>H14-H15-H16+H17-H19</f>
        <v>502638.90852639999</v>
      </c>
    </row>
    <row r="21" spans="2:69" x14ac:dyDescent="0.3">
      <c r="B21" s="13" t="s">
        <v>54</v>
      </c>
      <c r="C21" s="93">
        <v>0.02</v>
      </c>
      <c r="D21" s="166" t="s">
        <v>170</v>
      </c>
      <c r="E21" s="167"/>
    </row>
    <row r="22" spans="2:69" x14ac:dyDescent="0.3">
      <c r="B22" s="13" t="s">
        <v>42</v>
      </c>
      <c r="C22" s="94">
        <f>IFERROR(C18*C21*1.16,0)</f>
        <v>11957.189473599999</v>
      </c>
      <c r="D22" s="168">
        <f>D14+D16+D18</f>
        <v>24808.097999999998</v>
      </c>
      <c r="E22" s="169"/>
    </row>
    <row r="23" spans="2:69" x14ac:dyDescent="0.3">
      <c r="B23" s="13" t="s">
        <v>55</v>
      </c>
      <c r="C23" s="90" t="s">
        <v>21</v>
      </c>
    </row>
    <row r="24" spans="2:69" x14ac:dyDescent="0.3">
      <c r="B24" s="99" t="s">
        <v>56</v>
      </c>
      <c r="C24" s="100">
        <f>C6+C17+IF(C23="Contado",C22,0)+IF(AND(C9="Contado",C10="Anual"),C11,0)+IF(AND(C9="Contado",C10="Multianual Financiado"),C11,+IF(AND(C9="CONTADO",OR(C10="M13",C10="Multianual Fraccionado")),C11,0))</f>
        <v>65747.189473599996</v>
      </c>
    </row>
    <row r="25" spans="2:69" x14ac:dyDescent="0.3">
      <c r="D25" s="5"/>
      <c r="E25" s="5"/>
    </row>
    <row r="26" spans="2:69" x14ac:dyDescent="0.3">
      <c r="B26" s="99" t="s">
        <v>57</v>
      </c>
      <c r="C26" s="101">
        <f>CAT!C50</f>
        <v>0.25855192301221153</v>
      </c>
      <c r="D26" s="5"/>
      <c r="E26" s="4"/>
    </row>
    <row r="28" spans="2:69" x14ac:dyDescent="0.3">
      <c r="B28" s="33"/>
      <c r="C28" s="87"/>
      <c r="W28" s="117">
        <f>-PMT($C$20/12,W$29,$C$11)</f>
        <v>0</v>
      </c>
    </row>
    <row r="29" spans="2:69" x14ac:dyDescent="0.3">
      <c r="B29" s="102" t="s">
        <v>24</v>
      </c>
      <c r="C29" s="103">
        <v>12</v>
      </c>
      <c r="D29" s="103">
        <v>24</v>
      </c>
      <c r="E29" s="103">
        <v>36</v>
      </c>
      <c r="F29" s="103">
        <v>48</v>
      </c>
      <c r="G29" s="103">
        <v>60</v>
      </c>
      <c r="H29" s="104">
        <v>72</v>
      </c>
      <c r="L29" s="99" t="s">
        <v>24</v>
      </c>
      <c r="M29" s="11">
        <v>12</v>
      </c>
      <c r="N29" s="11">
        <v>24</v>
      </c>
      <c r="O29" s="11">
        <v>36</v>
      </c>
      <c r="P29" s="11">
        <v>48</v>
      </c>
      <c r="Q29" s="11">
        <v>60</v>
      </c>
      <c r="R29" s="11">
        <v>72</v>
      </c>
      <c r="V29" s="99" t="s">
        <v>24</v>
      </c>
      <c r="W29" s="11">
        <v>12</v>
      </c>
      <c r="X29" s="11">
        <v>24</v>
      </c>
      <c r="Y29" s="11">
        <v>36</v>
      </c>
      <c r="Z29" s="11">
        <v>48</v>
      </c>
      <c r="AA29" s="11">
        <v>60</v>
      </c>
      <c r="AB29" s="11">
        <v>72</v>
      </c>
      <c r="AF29" s="99" t="s">
        <v>24</v>
      </c>
      <c r="AG29" s="11">
        <v>12</v>
      </c>
      <c r="AH29" s="11">
        <v>24</v>
      </c>
      <c r="AI29" s="11">
        <v>36</v>
      </c>
      <c r="AJ29" s="11">
        <v>48</v>
      </c>
      <c r="AK29" s="11">
        <v>60</v>
      </c>
      <c r="AL29" s="11">
        <v>72</v>
      </c>
      <c r="AP29" s="99" t="s">
        <v>24</v>
      </c>
      <c r="AQ29" s="11">
        <v>12</v>
      </c>
      <c r="AR29" s="11">
        <v>24</v>
      </c>
      <c r="AS29" s="11">
        <v>36</v>
      </c>
      <c r="AT29" s="11">
        <v>48</v>
      </c>
      <c r="AU29" s="11">
        <v>60</v>
      </c>
      <c r="AV29" s="11">
        <v>72</v>
      </c>
      <c r="AZ29" s="99" t="s">
        <v>24</v>
      </c>
      <c r="BA29" s="11">
        <v>12</v>
      </c>
      <c r="BB29" s="11">
        <v>24</v>
      </c>
      <c r="BC29" s="11">
        <v>36</v>
      </c>
      <c r="BD29" s="11">
        <v>48</v>
      </c>
      <c r="BE29" s="11">
        <v>60</v>
      </c>
      <c r="BF29" s="11">
        <v>72</v>
      </c>
    </row>
    <row r="30" spans="2:69" x14ac:dyDescent="0.3">
      <c r="B30" s="105" t="s">
        <v>58</v>
      </c>
      <c r="C30" s="42">
        <f>IFERROR(M30+W30+AG30+AQ30+BA30," ")</f>
        <v>45311.505230554976</v>
      </c>
      <c r="D30" s="42">
        <f>IFERROR(IF($C$10="Multianual al frente",N30+X30+AH30+AR30,N30+$W$30+AH30+AR30+BB30)," ")</f>
        <v>23816.331745567433</v>
      </c>
      <c r="E30" s="42">
        <f>IFERROR(IF($C$10="Multianual al frente",O30+Y30+AI30+AS30,O30+$W$30+AI30+AS30+BC30)," ")</f>
        <v>16674.901333168349</v>
      </c>
      <c r="F30" s="42">
        <f>IFERROR(IF($C$10="Multianual al frente",P30+Z30+AJ30+AT30,P30+$W$30+AJ30+AT30+BD30)," ")</f>
        <v>13121.819180504348</v>
      </c>
      <c r="G30" s="42">
        <f>IFERROR(IF($C$10="Multianual al frente",Q30+AA30+AK30+AU30,Q30+$W$30+AK30+AU30+BE30)," ")</f>
        <v>11003.9790122342</v>
      </c>
      <c r="H30" s="42">
        <f>IFERROR(IF($C$10="Multianual al frente",R30+AB30+AL30+AV30,R30+$W$30+AL30+AV30+BF30)," ")</f>
        <v>9603.6565413764965</v>
      </c>
      <c r="L30" s="99" t="s">
        <v>58</v>
      </c>
      <c r="M30" s="42">
        <f t="shared" ref="M30:R30" si="0">-PMT($C$20/12,M$29,$C$7,0)</f>
        <v>42560.960166919947</v>
      </c>
      <c r="N30" s="42">
        <f t="shared" si="0"/>
        <v>22339.220289255114</v>
      </c>
      <c r="O30" s="42">
        <f t="shared" si="0"/>
        <v>15620.867992408665</v>
      </c>
      <c r="P30" s="42">
        <f t="shared" si="0"/>
        <v>12278.28026659546</v>
      </c>
      <c r="Q30" s="42">
        <f t="shared" si="0"/>
        <v>10285.906815172086</v>
      </c>
      <c r="R30" s="42">
        <f t="shared" si="0"/>
        <v>8968.5433256282467</v>
      </c>
      <c r="V30" s="99" t="s">
        <v>58</v>
      </c>
      <c r="W30" s="42">
        <f>IF(OR($C$9="Contado",$C$9="Promocional",$C$9="Gratis"),0,IF($C$10="Multianual Financiado",-PMT($C$20/12,W$29,$C$11),IF($C$10="Contado",0,IF($C$10="Multianual Fraccionado",-PMT($C$20/12,W$29,$C$11),IF($C$10="Anual",-PMT($C$20/12,W$29,$C$11),0)))))</f>
        <v>0</v>
      </c>
      <c r="X30" s="42">
        <f>IF($C$9="Contado",0,IF($C$10="Multianual Financiado",-PMT($C$20/12,X$29,$C$11+($C$12*((X29-12)/12)),0),IF($C$10="Contado",0,IF($C$10="Multianual Fraccionado",-PMT($C$20/12,W$29,$C$12),0))))</f>
        <v>0</v>
      </c>
      <c r="Y30" s="42">
        <f>IF($C$10="Multianual Financiado",-PMT($C$20/12,Y$29,$C$11+($C$12*((Y29-12)/12)),0),IF($C$10="Contado",0,IF($C$10="Multianual Fraccionado",$X$30,0)))</f>
        <v>0</v>
      </c>
      <c r="Z30" s="42">
        <f>IF($C$10="Multianual Financiado",-PMT($C$20/12,Z$29,$C$11+($C$12*((Z29-12)/12)),0),IF($C$10="Contado",0,IF($C$10="Multianual Fraccionado",$X$30,0)))</f>
        <v>0</v>
      </c>
      <c r="AA30" s="42">
        <f>IF($C$10="Multianual Financiado",-PMT($C$20/12,AA$29,$C$11+($C$12*((AA29-12)/12)),0),IF($C$10="Contado",0,IF($C$10="Multianual Fraccionado",$X$30,0)))</f>
        <v>0</v>
      </c>
      <c r="AB30" s="42">
        <f>IF($C$10="Multianual Financiado",-PMT($C$20/12,AB$29,$C$11+($C$12*((AB29-12)/12)),0),IF($C$10="Contado",0,IF($C$10="Multianual Fraccionado",$X$30,0)))</f>
        <v>0</v>
      </c>
      <c r="AF30" s="99" t="s">
        <v>58</v>
      </c>
      <c r="AG30" s="42">
        <f>-PMT($C$20/12,AG$29,$C$15,0)</f>
        <v>70.332709784007676</v>
      </c>
      <c r="AH30" s="42">
        <f>AG30</f>
        <v>70.332709784007676</v>
      </c>
      <c r="AI30" s="42">
        <f>AH30</f>
        <v>70.332709784007676</v>
      </c>
      <c r="AJ30" s="42">
        <f>AI30</f>
        <v>70.332709784007676</v>
      </c>
      <c r="AK30" s="42">
        <f>AJ30</f>
        <v>70.332709784007676</v>
      </c>
      <c r="AL30" s="42">
        <f>AK30</f>
        <v>70.332709784007676</v>
      </c>
      <c r="AP30" s="99" t="s">
        <v>58</v>
      </c>
      <c r="AQ30" s="42">
        <f t="shared" ref="AQ30:AV30" si="1">-PMT($C$20/12,AQ$29,$C$16,0)</f>
        <v>2680.2123538510209</v>
      </c>
      <c r="AR30" s="42">
        <f t="shared" si="1"/>
        <v>1406.7787465283091</v>
      </c>
      <c r="AS30" s="42">
        <f t="shared" si="1"/>
        <v>983.70063097567447</v>
      </c>
      <c r="AT30" s="42">
        <f t="shared" si="1"/>
        <v>773.20620412487938</v>
      </c>
      <c r="AU30" s="42">
        <f t="shared" si="1"/>
        <v>647.73948727810637</v>
      </c>
      <c r="AV30" s="42">
        <f t="shared" si="1"/>
        <v>564.78050596424089</v>
      </c>
      <c r="AZ30" s="99" t="s">
        <v>58</v>
      </c>
      <c r="BA30" s="42">
        <f t="shared" ref="BA30:BF30" si="2">-PMT($C$20/12,BA$29,$BB$35,0)</f>
        <v>0</v>
      </c>
      <c r="BB30" s="42">
        <f t="shared" si="2"/>
        <v>0</v>
      </c>
      <c r="BC30" s="42">
        <f t="shared" si="2"/>
        <v>0</v>
      </c>
      <c r="BD30" s="42">
        <f t="shared" si="2"/>
        <v>0</v>
      </c>
      <c r="BE30" s="42">
        <f t="shared" si="2"/>
        <v>0</v>
      </c>
      <c r="BF30" s="42">
        <f t="shared" si="2"/>
        <v>0</v>
      </c>
    </row>
    <row r="31" spans="2:69" x14ac:dyDescent="0.3">
      <c r="B31" s="33"/>
      <c r="C31" s="47"/>
      <c r="D31" s="47"/>
      <c r="E31" s="47"/>
      <c r="F31" s="47"/>
      <c r="G31" s="47"/>
      <c r="H31" s="47"/>
      <c r="BQ31" s="57"/>
    </row>
    <row r="32" spans="2:69" x14ac:dyDescent="0.3">
      <c r="B32" s="155" t="s">
        <v>59</v>
      </c>
      <c r="C32" s="14"/>
      <c r="D32" s="14"/>
      <c r="E32" s="14"/>
      <c r="F32" s="45"/>
      <c r="G32" s="45"/>
      <c r="H32" s="14"/>
      <c r="I32" s="14"/>
      <c r="L32" s="157" t="s">
        <v>60</v>
      </c>
      <c r="M32" s="14"/>
      <c r="N32" s="14"/>
      <c r="O32" s="14"/>
      <c r="P32" s="14"/>
      <c r="Q32" s="14"/>
      <c r="R32" s="14"/>
      <c r="S32" s="14"/>
      <c r="V32" s="159" t="str">
        <f>"Desglose de amortizaciones Seguro de Daños"&amp;" "&amp;C10</f>
        <v>Desglose de amortizaciones Seguro de Daños Multianual Financiado</v>
      </c>
      <c r="W32" s="14"/>
      <c r="X32" s="14"/>
      <c r="Y32" s="14"/>
      <c r="Z32" s="14"/>
      <c r="AA32" s="14"/>
      <c r="AB32" s="14"/>
      <c r="AC32" s="14"/>
      <c r="AF32" s="159" t="s">
        <v>61</v>
      </c>
      <c r="AG32" s="14"/>
      <c r="AH32" s="14"/>
      <c r="AI32" s="14"/>
      <c r="AJ32" s="14"/>
      <c r="AK32" s="14"/>
      <c r="AL32" s="14"/>
      <c r="AM32" s="14"/>
      <c r="AP32" s="157" t="s">
        <v>62</v>
      </c>
      <c r="AQ32" s="14"/>
      <c r="AR32" s="14"/>
      <c r="AS32" s="14"/>
      <c r="AT32" s="14"/>
      <c r="AU32" s="14"/>
      <c r="AV32" s="14"/>
      <c r="AW32" s="14"/>
      <c r="AZ32" s="157" t="s">
        <v>63</v>
      </c>
      <c r="BA32" s="14"/>
      <c r="BB32" s="14"/>
      <c r="BC32" s="14"/>
      <c r="BD32" s="45"/>
      <c r="BE32" s="45"/>
      <c r="BF32" s="14"/>
      <c r="BG32" s="14"/>
      <c r="BI32" s="7">
        <f>SUM(BI35:BI107)</f>
        <v>545599.21534277068</v>
      </c>
      <c r="BK32" s="48">
        <f>C26</f>
        <v>0.25855192301221153</v>
      </c>
      <c r="BQ32" s="58"/>
    </row>
    <row r="33" spans="1:106" ht="15.6" x14ac:dyDescent="0.3">
      <c r="B33" s="156"/>
      <c r="C33" s="36"/>
      <c r="D33" s="35"/>
      <c r="E33" s="35"/>
      <c r="F33" s="43"/>
      <c r="G33" s="43"/>
      <c r="H33" s="43"/>
      <c r="I33" s="43"/>
      <c r="L33" s="158"/>
      <c r="M33" s="36"/>
      <c r="N33" s="35"/>
      <c r="O33" s="35"/>
      <c r="P33" s="43"/>
      <c r="Q33" s="35"/>
      <c r="R33" s="35"/>
      <c r="S33" s="35"/>
      <c r="V33" s="160"/>
      <c r="W33" s="36"/>
      <c r="X33" s="35"/>
      <c r="Y33" s="35"/>
      <c r="Z33" s="35"/>
      <c r="AA33" s="35"/>
      <c r="AB33" s="35"/>
      <c r="AC33" s="35"/>
      <c r="AF33" s="160"/>
      <c r="AG33" s="36"/>
      <c r="AH33" s="35"/>
      <c r="AI33" s="35"/>
      <c r="AJ33" s="35"/>
      <c r="AK33" s="35"/>
      <c r="AL33" s="35"/>
      <c r="AM33" s="35"/>
      <c r="AP33" s="158"/>
      <c r="AQ33" s="36"/>
      <c r="AR33" s="35"/>
      <c r="AS33" s="35"/>
      <c r="AT33" s="35"/>
      <c r="AU33" s="35"/>
      <c r="AV33" s="35"/>
      <c r="AW33" s="35"/>
      <c r="AZ33" s="158"/>
      <c r="BA33" s="36"/>
      <c r="BB33" s="35"/>
      <c r="BC33" s="35"/>
      <c r="BD33" s="43"/>
      <c r="BE33" s="43"/>
      <c r="BF33" s="43"/>
      <c r="BG33" s="43"/>
      <c r="BI33" s="106" t="s">
        <v>72</v>
      </c>
      <c r="BJ33" s="107" t="s">
        <v>73</v>
      </c>
      <c r="BK33" s="108" t="s">
        <v>74</v>
      </c>
      <c r="BM33" s="170" t="s">
        <v>75</v>
      </c>
      <c r="BN33" s="170"/>
      <c r="BO33" s="170"/>
      <c r="BP33" s="170"/>
      <c r="BQ33" s="170"/>
      <c r="BR33" s="170"/>
      <c r="BS33" s="171"/>
    </row>
    <row r="34" spans="1:106" x14ac:dyDescent="0.3">
      <c r="B34" s="34" t="s">
        <v>64</v>
      </c>
      <c r="C34" s="34" t="s">
        <v>65</v>
      </c>
      <c r="D34" s="34" t="s">
        <v>66</v>
      </c>
      <c r="E34" s="34" t="s">
        <v>67</v>
      </c>
      <c r="F34" s="34" t="s">
        <v>68</v>
      </c>
      <c r="G34" s="34" t="s">
        <v>69</v>
      </c>
      <c r="H34" s="34" t="s">
        <v>70</v>
      </c>
      <c r="I34" s="34" t="s">
        <v>71</v>
      </c>
      <c r="L34" s="34" t="s">
        <v>64</v>
      </c>
      <c r="M34" s="34" t="s">
        <v>65</v>
      </c>
      <c r="N34" s="34" t="s">
        <v>66</v>
      </c>
      <c r="O34" s="34" t="s">
        <v>67</v>
      </c>
      <c r="P34" s="34" t="s">
        <v>68</v>
      </c>
      <c r="Q34" s="34" t="s">
        <v>69</v>
      </c>
      <c r="R34" s="34" t="s">
        <v>70</v>
      </c>
      <c r="S34" s="34" t="s">
        <v>71</v>
      </c>
      <c r="V34" s="34" t="s">
        <v>64</v>
      </c>
      <c r="W34" s="34" t="s">
        <v>65</v>
      </c>
      <c r="X34" s="34" t="s">
        <v>66</v>
      </c>
      <c r="Y34" s="34" t="s">
        <v>67</v>
      </c>
      <c r="Z34" s="34" t="s">
        <v>68</v>
      </c>
      <c r="AA34" s="34" t="s">
        <v>69</v>
      </c>
      <c r="AB34" s="34" t="s">
        <v>70</v>
      </c>
      <c r="AC34" s="34" t="s">
        <v>71</v>
      </c>
      <c r="AF34" s="34" t="s">
        <v>64</v>
      </c>
      <c r="AG34" s="34" t="s">
        <v>65</v>
      </c>
      <c r="AH34" s="34" t="s">
        <v>66</v>
      </c>
      <c r="AI34" s="34" t="s">
        <v>67</v>
      </c>
      <c r="AJ34" s="34" t="s">
        <v>68</v>
      </c>
      <c r="AK34" s="34" t="s">
        <v>69</v>
      </c>
      <c r="AL34" s="34" t="s">
        <v>70</v>
      </c>
      <c r="AM34" s="34" t="s">
        <v>71</v>
      </c>
      <c r="AP34" s="34" t="s">
        <v>64</v>
      </c>
      <c r="AQ34" s="34" t="s">
        <v>65</v>
      </c>
      <c r="AR34" s="34" t="s">
        <v>66</v>
      </c>
      <c r="AS34" s="34" t="s">
        <v>67</v>
      </c>
      <c r="AT34" s="34" t="s">
        <v>68</v>
      </c>
      <c r="AU34" s="34" t="s">
        <v>69</v>
      </c>
      <c r="AV34" s="34" t="s">
        <v>70</v>
      </c>
      <c r="AW34" s="34" t="s">
        <v>71</v>
      </c>
      <c r="AZ34" s="34" t="s">
        <v>64</v>
      </c>
      <c r="BA34" s="34" t="s">
        <v>65</v>
      </c>
      <c r="BB34" s="34" t="s">
        <v>66</v>
      </c>
      <c r="BC34" s="34" t="s">
        <v>67</v>
      </c>
      <c r="BD34" s="34" t="s">
        <v>68</v>
      </c>
      <c r="BE34" s="34" t="s">
        <v>69</v>
      </c>
      <c r="BF34" s="34" t="s">
        <v>70</v>
      </c>
      <c r="BG34" s="34" t="s">
        <v>71</v>
      </c>
      <c r="BI34" s="5">
        <f>CAT!C74</f>
        <v>-473802.07803999999</v>
      </c>
      <c r="BJ34" s="7">
        <f>SUM(BJ35:BJ107)</f>
        <v>473802.07804000296</v>
      </c>
      <c r="BK34" s="49">
        <f>BI34+BJ34</f>
        <v>2.9685907065868378E-9</v>
      </c>
      <c r="BM34" s="109" t="s">
        <v>134</v>
      </c>
      <c r="BN34" s="109" t="s">
        <v>40</v>
      </c>
      <c r="BO34" s="110" t="s">
        <v>76</v>
      </c>
      <c r="BP34" s="110" t="s">
        <v>77</v>
      </c>
      <c r="BQ34" s="110" t="s">
        <v>78</v>
      </c>
      <c r="BR34" s="110" t="s">
        <v>79</v>
      </c>
      <c r="BS34" s="111" t="s">
        <v>80</v>
      </c>
      <c r="BT34" s="3" t="s">
        <v>164</v>
      </c>
      <c r="CG34" s="5"/>
    </row>
    <row r="35" spans="1:106" x14ac:dyDescent="0.3">
      <c r="A35" s="9">
        <v>0</v>
      </c>
      <c r="B35" s="6">
        <v>0</v>
      </c>
      <c r="C35" s="46">
        <f>'Fechas de pago'!A17</f>
        <v>45308</v>
      </c>
      <c r="D35" s="4">
        <f>$C$18</f>
        <v>515396.098</v>
      </c>
      <c r="E35" s="4">
        <v>0</v>
      </c>
      <c r="F35" s="4">
        <f>IFERROR(C18*C20/360*_xlfn.DAYS(C35,I1),0)</f>
        <v>1861.1525761111111</v>
      </c>
      <c r="G35" s="4">
        <v>0</v>
      </c>
      <c r="H35" s="4">
        <f>IF($H$18="PFAE",0,F35*0.16)</f>
        <v>297.78441217777777</v>
      </c>
      <c r="I35" s="4">
        <f>F35+H35</f>
        <v>2158.9369882888886</v>
      </c>
      <c r="K35" s="19"/>
      <c r="L35" s="6">
        <f t="shared" ref="L35:L66" si="3">B35</f>
        <v>0</v>
      </c>
      <c r="M35" s="10"/>
      <c r="N35" s="4">
        <f>$C$7</f>
        <v>484110</v>
      </c>
      <c r="O35" s="4">
        <v>0</v>
      </c>
      <c r="P35" s="4">
        <f>F35</f>
        <v>1861.1525761111111</v>
      </c>
      <c r="Q35" s="4">
        <v>0</v>
      </c>
      <c r="R35" s="4">
        <f>H35</f>
        <v>297.78441217777777</v>
      </c>
      <c r="S35" s="4">
        <f>P35+R35</f>
        <v>2158.9369882888886</v>
      </c>
      <c r="T35" s="5"/>
      <c r="V35" s="6">
        <f>L35</f>
        <v>0</v>
      </c>
      <c r="W35" s="10"/>
      <c r="X35" s="4"/>
      <c r="Y35" s="4">
        <v>0</v>
      </c>
      <c r="Z35" s="4"/>
      <c r="AA35" s="4">
        <v>0</v>
      </c>
      <c r="AB35" s="4">
        <v>0</v>
      </c>
      <c r="AC35" s="4">
        <f>Z35</f>
        <v>0</v>
      </c>
      <c r="AD35" s="5"/>
      <c r="AF35" s="6">
        <f>V35</f>
        <v>0</v>
      </c>
      <c r="AG35" s="10"/>
      <c r="AH35" s="4"/>
      <c r="AI35" s="4">
        <v>0</v>
      </c>
      <c r="AJ35" s="4"/>
      <c r="AK35" s="4">
        <v>0</v>
      </c>
      <c r="AL35" s="4">
        <v>0</v>
      </c>
      <c r="AM35" s="4">
        <f>AJ35</f>
        <v>0</v>
      </c>
      <c r="AN35" s="5"/>
      <c r="AP35" s="6">
        <f t="shared" ref="AP35:AP66" si="4">B35</f>
        <v>0</v>
      </c>
      <c r="AQ35" s="10"/>
      <c r="AR35" s="4">
        <f>$C$16</f>
        <v>30486.097999999998</v>
      </c>
      <c r="AS35" s="4">
        <v>0</v>
      </c>
      <c r="AT35" s="4"/>
      <c r="AU35" s="4">
        <v>0</v>
      </c>
      <c r="AV35" s="4">
        <v>0</v>
      </c>
      <c r="AW35" s="4">
        <f>AT35</f>
        <v>0</v>
      </c>
      <c r="AZ35" s="6">
        <f t="shared" ref="AZ35:AZ66" si="5">B35</f>
        <v>0</v>
      </c>
      <c r="BA35" s="10">
        <f t="shared" ref="BA35:BA66" si="6">C35</f>
        <v>45308</v>
      </c>
      <c r="BB35" s="4">
        <f>IF(C23="Financiado",C22,0)</f>
        <v>0</v>
      </c>
      <c r="BC35" s="4">
        <v>0</v>
      </c>
      <c r="BD35" s="4">
        <v>0</v>
      </c>
      <c r="BE35" s="4">
        <v>0</v>
      </c>
      <c r="BF35" s="4">
        <v>0</v>
      </c>
      <c r="BG35" s="4">
        <f>BD35</f>
        <v>0</v>
      </c>
      <c r="BI35" s="7">
        <f>IF(SUM(BN35:BS35)&gt;0,SUM(BN35:BS35),0)</f>
        <v>1861.1525761111111</v>
      </c>
      <c r="BJ35" s="7">
        <f t="shared" ref="BJ35:BJ66" si="7">IF(B35&lt;=$C$19,BI35/((1+$BK$32)^(BM35/12)),"")</f>
        <v>1825.8259822733526</v>
      </c>
      <c r="BM35" s="6">
        <v>1</v>
      </c>
      <c r="BS35" s="5">
        <f>F35</f>
        <v>1861.1525761111111</v>
      </c>
      <c r="CC35" s="53"/>
      <c r="CD35" s="53"/>
      <c r="CE35" s="53"/>
      <c r="CF35" s="53"/>
      <c r="CG35" s="53"/>
      <c r="CH35" s="53"/>
      <c r="CI35" s="53"/>
      <c r="CJ35" s="53"/>
    </row>
    <row r="36" spans="1:106" x14ac:dyDescent="0.3">
      <c r="A36" s="9">
        <v>1</v>
      </c>
      <c r="B36" s="118">
        <f t="shared" ref="B36:B67" si="8">IF(A36&lt;=$C$19,A36,"")</f>
        <v>1</v>
      </c>
      <c r="C36" s="119">
        <f>IF(A36&lt;=$C$19,'Fechas de pago'!B20,"")</f>
        <v>45339</v>
      </c>
      <c r="D36" s="45">
        <f t="shared" ref="D36:D67" si="9">IF(A36&lt;=$C$19,N36+X36+AH36+AR36+BB36,"")</f>
        <v>515396.098</v>
      </c>
      <c r="E36" s="45">
        <f t="shared" ref="E36:E67" si="10">IF(A36&lt;=$C$19,O36+Y36+AI36+AS36+BC36,"")</f>
        <v>41016.537747221642</v>
      </c>
      <c r="F36" s="45">
        <f t="shared" ref="F36:F67" si="11">IF(A36&lt;=$C$19,P36+Z36+AJ36+AT36+BD36,"")</f>
        <v>4294.9674833333329</v>
      </c>
      <c r="G36" s="45">
        <f t="shared" ref="G36:G67" si="12">IF(A36&lt;=$C$19,Q36+AA36+AK36+AU36+BE36,"")</f>
        <v>45311.505230554976</v>
      </c>
      <c r="H36" s="45">
        <f t="shared" ref="H36:H67" si="13">IF(A36&lt;=$C$19,IF($H$18="PFAE",0,F36*0.16),"")</f>
        <v>687.19479733333333</v>
      </c>
      <c r="I36" s="45">
        <f t="shared" ref="I36:I67" si="14">IF(A36&lt;=$C$19,G36+H36,"")</f>
        <v>45998.700027888306</v>
      </c>
      <c r="J36" s="5"/>
      <c r="K36" s="5"/>
      <c r="L36" s="118">
        <f t="shared" si="3"/>
        <v>1</v>
      </c>
      <c r="M36" s="121">
        <f t="shared" ref="M36:M67" si="15">C36</f>
        <v>45339</v>
      </c>
      <c r="N36" s="45">
        <f>IF(A36&lt;=$C$19,N35,"")</f>
        <v>484110</v>
      </c>
      <c r="O36" s="45">
        <f t="shared" ref="O36:O67" si="16">IF(A36&lt;=$C$19,Q36-P36,"")</f>
        <v>38526.710166919947</v>
      </c>
      <c r="P36" s="45">
        <f t="shared" ref="P36:P67" si="17">IF(A36&lt;=$C$19,N36*$C$20/12,"")</f>
        <v>4034.25</v>
      </c>
      <c r="Q36" s="45">
        <f t="shared" ref="Q36:Q67" si="18">IF(A36&lt;=$C$19,HLOOKUP($C$19,$M$29:$R$30,2,0),"")</f>
        <v>42560.960166919947</v>
      </c>
      <c r="R36" s="45">
        <f t="shared" ref="R36:R67" si="19">IF(A36&lt;=$C$19,P36*0.16,"")</f>
        <v>645.48</v>
      </c>
      <c r="S36" s="45">
        <f t="shared" ref="S36:S67" si="20">IF(A36&lt;=$C$19,Q36+R36,"")</f>
        <v>43206.440166919951</v>
      </c>
      <c r="T36" s="5"/>
      <c r="V36" s="118">
        <f t="shared" ref="V36:V99" si="21">L36</f>
        <v>1</v>
      </c>
      <c r="W36" s="121">
        <f>M36</f>
        <v>45339</v>
      </c>
      <c r="X36" s="45">
        <f>IF(AND($C$9="financiado",$C$10="multianual financiado"),$C$11,IF(AND($C$9="financiado",$C$10="multianual fraccionado"),$C$11,IF(AND($C$9="financiado",$C$10="anual"),$C$11,IF(OR($C$9="Contado",$C$9="Gratis",$C$9="Externo"),0,0))))</f>
        <v>0</v>
      </c>
      <c r="Y36" s="45">
        <f t="shared" ref="Y36:Y67" si="22">IFERROR(IF(A36&lt;=$C$19,AA36-Z36,""),0)</f>
        <v>0</v>
      </c>
      <c r="Z36" s="45">
        <f t="shared" ref="Z36:Z67" si="23">IFERROR(IF(A36&lt;=$C$19,X36*$C$20/12,""),0)</f>
        <v>0</v>
      </c>
      <c r="AA36" s="45">
        <f>IF(AND($C$9="financiado",$C$10="multianual financiado",V36&lt;=$C$19),-PMT($C$20/12,$C$19,$C$11),IF(AND($C$9="financiado",$C$10="anual"),-PMT($C$20/12,12,$C$11),IF(OR($C$9="contado",$C$9="promocional",$C$9="gratis",$C$9="Externo"),0,IF(AND($C$9="Financiado",$C$10="Multianual Fraccionado"),-PMT($C$20/12,W$29,$C$11),0))))</f>
        <v>0</v>
      </c>
      <c r="AB36" s="45">
        <f t="shared" ref="AB36:AB67" si="24">IF(A36&lt;=$C$19,Z36*0.16,"")</f>
        <v>0</v>
      </c>
      <c r="AC36" s="45">
        <f t="shared" ref="AC36:AC67" si="25">IFERROR(IF(A36&lt;=$C$19,AA36+AB36,""),0)</f>
        <v>0</v>
      </c>
      <c r="AD36" s="5"/>
      <c r="AF36" s="118">
        <f t="shared" ref="AF36:AF99" si="26">V36</f>
        <v>1</v>
      </c>
      <c r="AG36" s="121">
        <f>W36</f>
        <v>45339</v>
      </c>
      <c r="AH36" s="45">
        <f>$C$15</f>
        <v>800</v>
      </c>
      <c r="AI36" s="45">
        <f t="shared" ref="AI36:AI67" si="27">IF(A36&lt;=$C$19,AK36-AJ36,"")</f>
        <v>63.666043117341012</v>
      </c>
      <c r="AJ36" s="45">
        <f t="shared" ref="AJ36:AJ67" si="28">IF(A36&lt;=$C$19,AH36*$C$20/12,"")</f>
        <v>6.666666666666667</v>
      </c>
      <c r="AK36" s="45">
        <f t="shared" ref="AK36:AK67" si="29">IF(A36&lt;=$C$19,HLOOKUP($C$19,$AG$29:$AL$30,2,0),"")</f>
        <v>70.332709784007676</v>
      </c>
      <c r="AL36" s="45">
        <f t="shared" ref="AL36:AL67" si="30">IF(A36&lt;=$C$19,AJ36*0.16,"")</f>
        <v>1.0666666666666667</v>
      </c>
      <c r="AM36" s="45">
        <f t="shared" ref="AM36:AM67" si="31">IF(A36&lt;=$C$19,AK36+AL36,"")</f>
        <v>71.399376450674339</v>
      </c>
      <c r="AN36" s="7"/>
      <c r="AP36" s="118">
        <f t="shared" si="4"/>
        <v>1</v>
      </c>
      <c r="AQ36" s="121">
        <f t="shared" ref="AQ36:AQ67" si="32">C36</f>
        <v>45339</v>
      </c>
      <c r="AR36" s="45">
        <f>IF(A36&lt;=$C$19,AR35,"")</f>
        <v>30486.097999999998</v>
      </c>
      <c r="AS36" s="45">
        <f t="shared" ref="AS36:AS67" si="33">IF(A36&lt;=$C$19,AU36-AT36,"")</f>
        <v>2426.1615371843541</v>
      </c>
      <c r="AT36" s="45">
        <f t="shared" ref="AT36:AT67" si="34">IF(A36&lt;=$C$19,AR36*$C$20/12,"")</f>
        <v>254.05081666666669</v>
      </c>
      <c r="AU36" s="45">
        <f t="shared" ref="AU36:AU67" si="35">IF(A36&lt;=$C$19,HLOOKUP($C$19,$AQ$29:$AV$30,2,0),"")</f>
        <v>2680.2123538510209</v>
      </c>
      <c r="AV36" s="45">
        <f t="shared" ref="AV36:AV67" si="36">IF(A36&lt;=$C$19,AT36*0.16,"")</f>
        <v>40.648130666666674</v>
      </c>
      <c r="AW36" s="45">
        <f t="shared" ref="AW36:AW67" si="37">IF(A36&lt;=$C$19,AU36+AV36,"")</f>
        <v>2720.8604845176874</v>
      </c>
      <c r="AZ36" s="118">
        <f t="shared" si="5"/>
        <v>1</v>
      </c>
      <c r="BA36" s="121">
        <f t="shared" si="6"/>
        <v>45339</v>
      </c>
      <c r="BB36" s="45">
        <f>IF(A36&lt;=$C$19,BB35,"")</f>
        <v>0</v>
      </c>
      <c r="BC36" s="45">
        <f t="shared" ref="BC36:BC67" si="38">IF(A36&lt;=$C$19,BE36-BD36,"")</f>
        <v>0</v>
      </c>
      <c r="BD36" s="45">
        <f t="shared" ref="BD36:BD67" si="39">IF(A36&lt;=$C$19,BB36*$C$20/12,"")</f>
        <v>0</v>
      </c>
      <c r="BE36" s="45">
        <f t="shared" ref="BE36:BE67" si="40">IF(A36&lt;=$C$19,HLOOKUP($C$19,$BA$29:$BF$30,2,0),"")</f>
        <v>0</v>
      </c>
      <c r="BF36" s="45">
        <f t="shared" ref="BF36:BF67" si="41">IF(A36&lt;=$C$19,BD36*0.16,"")</f>
        <v>0</v>
      </c>
      <c r="BG36" s="45">
        <f t="shared" ref="BG36:BG67" si="42">IF(A36&lt;=$C$19,BE36+BF36,"")</f>
        <v>0</v>
      </c>
      <c r="BH36" s="5"/>
      <c r="BI36" s="122">
        <f>IF(SUM(BN36:BS36)&gt;0,SUM(BN36:BS36),"")</f>
        <v>45311.505230554976</v>
      </c>
      <c r="BJ36" s="122">
        <f t="shared" si="7"/>
        <v>43607.711911078091</v>
      </c>
      <c r="BK36" s="7"/>
      <c r="BM36" s="118">
        <v>2</v>
      </c>
      <c r="BN36" s="120">
        <f>Q36</f>
        <v>42560.960166919947</v>
      </c>
      <c r="BO36" s="120">
        <f>BE36</f>
        <v>0</v>
      </c>
      <c r="BP36" s="120">
        <f>AU36</f>
        <v>2680.2123538510209</v>
      </c>
      <c r="BQ36" s="120">
        <f>AA36</f>
        <v>0</v>
      </c>
      <c r="BR36" s="120">
        <f>AK36</f>
        <v>70.332709784007676</v>
      </c>
      <c r="BS36" s="120"/>
      <c r="BT36" s="5"/>
      <c r="CC36" s="6"/>
      <c r="CD36" s="54"/>
      <c r="CE36" s="55"/>
      <c r="CF36" s="55"/>
      <c r="CG36" s="55"/>
      <c r="CH36" s="55"/>
      <c r="CI36" s="55"/>
      <c r="CJ36" s="55"/>
      <c r="DB36" s="4"/>
    </row>
    <row r="37" spans="1:106" x14ac:dyDescent="0.3">
      <c r="A37" s="9">
        <v>2</v>
      </c>
      <c r="B37" s="6">
        <f t="shared" si="8"/>
        <v>2</v>
      </c>
      <c r="C37" s="46">
        <f>IF(A37&lt;=$C$19,'Fechas de pago'!B21,"")</f>
        <v>45368</v>
      </c>
      <c r="D37" s="4">
        <f t="shared" si="9"/>
        <v>474379.56025277829</v>
      </c>
      <c r="E37" s="4">
        <f t="shared" si="10"/>
        <v>41358.342228448484</v>
      </c>
      <c r="F37" s="4">
        <f t="shared" si="11"/>
        <v>3953.1630021064866</v>
      </c>
      <c r="G37" s="4">
        <f t="shared" si="12"/>
        <v>45311.505230554976</v>
      </c>
      <c r="H37" s="4">
        <f t="shared" si="13"/>
        <v>632.50608033703782</v>
      </c>
      <c r="I37" s="4">
        <f t="shared" si="14"/>
        <v>45944.011310892012</v>
      </c>
      <c r="K37" s="5"/>
      <c r="L37" s="6">
        <f t="shared" si="3"/>
        <v>2</v>
      </c>
      <c r="M37" s="10">
        <f t="shared" si="15"/>
        <v>45368</v>
      </c>
      <c r="N37" s="4">
        <f t="shared" ref="N37:N68" si="43">IF(A37&lt;=$C$19,N36-O36,"")</f>
        <v>445583.28983308002</v>
      </c>
      <c r="O37" s="4">
        <f t="shared" si="16"/>
        <v>38847.766084977615</v>
      </c>
      <c r="P37" s="4">
        <f t="shared" si="17"/>
        <v>3713.1940819423339</v>
      </c>
      <c r="Q37" s="4">
        <f t="shared" si="18"/>
        <v>42560.960166919947</v>
      </c>
      <c r="R37" s="4">
        <f t="shared" si="19"/>
        <v>594.11105311077347</v>
      </c>
      <c r="S37" s="4">
        <f t="shared" si="20"/>
        <v>43155.071220030724</v>
      </c>
      <c r="T37" s="5"/>
      <c r="V37" s="6">
        <f t="shared" si="21"/>
        <v>2</v>
      </c>
      <c r="W37" s="10">
        <f t="shared" ref="W37:W100" si="44">M37</f>
        <v>45368</v>
      </c>
      <c r="X37" s="4">
        <f>IF(OR($C$9="financiado"),X36-Y36,IF(OR($C$9="Contado",$C$9="Gratis",$C$9="Externo"),0))</f>
        <v>0</v>
      </c>
      <c r="Y37" s="4">
        <f t="shared" si="22"/>
        <v>0</v>
      </c>
      <c r="Z37" s="4">
        <f t="shared" si="23"/>
        <v>0</v>
      </c>
      <c r="AA37" s="4">
        <f t="shared" ref="AA37:AA47" si="45">IF(AND($C$9="financiado",$C$10="multianual financiado",V37&lt;=$C$19),-PMT($C$20/12,$C$19,$C$11),IF(AND($C$9="financiado",$C$10="anual"),-PMT($C$20/12,12,$C$11),IF(OR($C$9="contado",$C$9="promocional",$C$9="gratis",$C$9="Externo"),0,IF(AND($C$9="Financiado",$C$10="Multianual Fraccionado"),-PMT($C$20/12,W$29,$C$11),0))))</f>
        <v>0</v>
      </c>
      <c r="AB37" s="4">
        <f t="shared" si="24"/>
        <v>0</v>
      </c>
      <c r="AC37" s="4">
        <f t="shared" si="25"/>
        <v>0</v>
      </c>
      <c r="AD37" s="5"/>
      <c r="AF37" s="6">
        <f t="shared" si="26"/>
        <v>2</v>
      </c>
      <c r="AG37" s="10">
        <f t="shared" ref="AG37:AG100" si="46">W37</f>
        <v>45368</v>
      </c>
      <c r="AH37" s="4">
        <f t="shared" ref="AH37:AH47" si="47">IF(A37&lt;=$C$19,AH36-AI36,"")</f>
        <v>736.33395688265898</v>
      </c>
      <c r="AI37" s="4">
        <f t="shared" si="27"/>
        <v>64.196593476652183</v>
      </c>
      <c r="AJ37" s="4">
        <f t="shared" si="28"/>
        <v>6.1361163073554925</v>
      </c>
      <c r="AK37" s="4">
        <f t="shared" si="29"/>
        <v>70.332709784007676</v>
      </c>
      <c r="AL37" s="4">
        <f t="shared" si="30"/>
        <v>0.98177860917687887</v>
      </c>
      <c r="AM37" s="4">
        <f t="shared" si="31"/>
        <v>71.314488393184561</v>
      </c>
      <c r="AN37" s="5"/>
      <c r="AP37" s="6">
        <f t="shared" si="4"/>
        <v>2</v>
      </c>
      <c r="AQ37" s="10">
        <f t="shared" si="32"/>
        <v>45368</v>
      </c>
      <c r="AR37" s="4">
        <f t="shared" ref="AR37:AR68" si="48">IF(A37&lt;=$C$19,AR36-AS36,"")</f>
        <v>28059.936462815644</v>
      </c>
      <c r="AS37" s="4">
        <f t="shared" si="33"/>
        <v>2446.3795499942239</v>
      </c>
      <c r="AT37" s="4">
        <f t="shared" si="34"/>
        <v>233.83280385679703</v>
      </c>
      <c r="AU37" s="4">
        <f t="shared" si="35"/>
        <v>2680.2123538510209</v>
      </c>
      <c r="AV37" s="4">
        <f t="shared" si="36"/>
        <v>37.413248617087525</v>
      </c>
      <c r="AW37" s="4">
        <f t="shared" si="37"/>
        <v>2717.6256024681084</v>
      </c>
      <c r="AZ37" s="6">
        <f t="shared" si="5"/>
        <v>2</v>
      </c>
      <c r="BA37" s="10">
        <f t="shared" si="6"/>
        <v>45368</v>
      </c>
      <c r="BB37" s="4">
        <f t="shared" ref="BB37:BB68" si="49">IF(A37&lt;=$C$19,BB36-BC36,"")</f>
        <v>0</v>
      </c>
      <c r="BC37" s="4">
        <f t="shared" si="38"/>
        <v>0</v>
      </c>
      <c r="BD37" s="4">
        <f t="shared" si="39"/>
        <v>0</v>
      </c>
      <c r="BE37" s="4">
        <f t="shared" si="40"/>
        <v>0</v>
      </c>
      <c r="BF37" s="4">
        <f t="shared" si="41"/>
        <v>0</v>
      </c>
      <c r="BG37" s="4">
        <f t="shared" si="42"/>
        <v>0</v>
      </c>
      <c r="BH37" s="5"/>
      <c r="BI37" s="7">
        <f>IF(SUM(BN37:BR37)&gt;0,SUM(BN37:BR37),"")</f>
        <v>45311.505230554976</v>
      </c>
      <c r="BJ37" s="7">
        <f t="shared" si="7"/>
        <v>42779.992600662641</v>
      </c>
      <c r="BK37" s="7"/>
      <c r="BM37" s="6">
        <v>3</v>
      </c>
      <c r="BN37" s="5">
        <f t="shared" ref="BN37:BN100" si="50">Q37</f>
        <v>42560.960166919947</v>
      </c>
      <c r="BO37" s="5">
        <f t="shared" ref="BO37:BO100" si="51">BE37</f>
        <v>0</v>
      </c>
      <c r="BP37" s="5">
        <f t="shared" ref="BP37:BP100" si="52">AU37</f>
        <v>2680.2123538510209</v>
      </c>
      <c r="BQ37" s="5">
        <f t="shared" ref="BQ37:BQ100" si="53">AA37</f>
        <v>0</v>
      </c>
      <c r="BR37" s="5">
        <f t="shared" ref="BR37:BR100" si="54">AK37</f>
        <v>70.332709784007676</v>
      </c>
      <c r="CC37" s="6"/>
      <c r="CD37" s="54"/>
      <c r="CE37" s="55"/>
      <c r="CF37" s="55"/>
      <c r="CG37" s="55"/>
      <c r="CH37" s="55"/>
      <c r="CI37" s="55"/>
      <c r="CJ37" s="55"/>
      <c r="DB37" s="4"/>
    </row>
    <row r="38" spans="1:106" x14ac:dyDescent="0.3">
      <c r="A38" s="9">
        <v>3</v>
      </c>
      <c r="B38" s="6">
        <f t="shared" si="8"/>
        <v>3</v>
      </c>
      <c r="C38" s="46">
        <f>IF(A38&lt;=$C$19,'Fechas de pago'!B22,"")</f>
        <v>45399</v>
      </c>
      <c r="D38" s="4">
        <f t="shared" si="9"/>
        <v>433021.21802432986</v>
      </c>
      <c r="E38" s="4">
        <f t="shared" si="10"/>
        <v>41702.99508035223</v>
      </c>
      <c r="F38" s="4">
        <f t="shared" si="11"/>
        <v>3608.5101502027487</v>
      </c>
      <c r="G38" s="4">
        <f t="shared" si="12"/>
        <v>45311.505230554976</v>
      </c>
      <c r="H38" s="4">
        <f t="shared" si="13"/>
        <v>577.36162403243986</v>
      </c>
      <c r="I38" s="4">
        <f t="shared" si="14"/>
        <v>45888.866854587417</v>
      </c>
      <c r="K38" s="5"/>
      <c r="L38" s="6">
        <f t="shared" si="3"/>
        <v>3</v>
      </c>
      <c r="M38" s="10">
        <f t="shared" si="15"/>
        <v>45399</v>
      </c>
      <c r="N38" s="4">
        <f t="shared" si="43"/>
        <v>406735.52374810242</v>
      </c>
      <c r="O38" s="4">
        <f t="shared" si="16"/>
        <v>39171.497469019094</v>
      </c>
      <c r="P38" s="4">
        <f t="shared" si="17"/>
        <v>3389.4626979008535</v>
      </c>
      <c r="Q38" s="4">
        <f t="shared" si="18"/>
        <v>42560.960166919947</v>
      </c>
      <c r="R38" s="4">
        <f t="shared" si="19"/>
        <v>542.31403166413656</v>
      </c>
      <c r="S38" s="4">
        <f t="shared" si="20"/>
        <v>43103.274198584084</v>
      </c>
      <c r="T38" s="5"/>
      <c r="V38" s="6">
        <f t="shared" si="21"/>
        <v>3</v>
      </c>
      <c r="W38" s="10">
        <f t="shared" si="44"/>
        <v>45399</v>
      </c>
      <c r="X38" s="4">
        <f t="shared" ref="X38:X47" si="55">IF(OR($C$9="financiado"),X37-Y37,IF(OR($C$9="Contado",$C$9="Gratis",$C$9="Externo"),0))</f>
        <v>0</v>
      </c>
      <c r="Y38" s="4">
        <f t="shared" si="22"/>
        <v>0</v>
      </c>
      <c r="Z38" s="4">
        <f t="shared" si="23"/>
        <v>0</v>
      </c>
      <c r="AA38" s="4">
        <f t="shared" si="45"/>
        <v>0</v>
      </c>
      <c r="AB38" s="4">
        <f t="shared" si="24"/>
        <v>0</v>
      </c>
      <c r="AC38" s="4">
        <f t="shared" si="25"/>
        <v>0</v>
      </c>
      <c r="AD38" s="5"/>
      <c r="AF38" s="6">
        <f t="shared" si="26"/>
        <v>3</v>
      </c>
      <c r="AG38" s="10">
        <f t="shared" si="46"/>
        <v>45399</v>
      </c>
      <c r="AH38" s="4">
        <f t="shared" si="47"/>
        <v>672.13736340600678</v>
      </c>
      <c r="AI38" s="4">
        <f t="shared" si="27"/>
        <v>64.731565088957623</v>
      </c>
      <c r="AJ38" s="4">
        <f t="shared" si="28"/>
        <v>5.6011446950500563</v>
      </c>
      <c r="AK38" s="4">
        <f t="shared" si="29"/>
        <v>70.332709784007676</v>
      </c>
      <c r="AL38" s="4">
        <f t="shared" si="30"/>
        <v>0.89618315120800907</v>
      </c>
      <c r="AM38" s="4">
        <f t="shared" si="31"/>
        <v>71.228892935215683</v>
      </c>
      <c r="AN38" s="5"/>
      <c r="AP38" s="6">
        <f t="shared" si="4"/>
        <v>3</v>
      </c>
      <c r="AQ38" s="10">
        <f t="shared" si="32"/>
        <v>45399</v>
      </c>
      <c r="AR38" s="4">
        <f t="shared" si="48"/>
        <v>25613.556912821419</v>
      </c>
      <c r="AS38" s="4">
        <f t="shared" si="33"/>
        <v>2466.7660462441759</v>
      </c>
      <c r="AT38" s="4">
        <f t="shared" si="34"/>
        <v>213.44630760684518</v>
      </c>
      <c r="AU38" s="4">
        <f t="shared" si="35"/>
        <v>2680.2123538510209</v>
      </c>
      <c r="AV38" s="4">
        <f t="shared" si="36"/>
        <v>34.151409217095228</v>
      </c>
      <c r="AW38" s="4">
        <f t="shared" si="37"/>
        <v>2714.363763068116</v>
      </c>
      <c r="AZ38" s="6">
        <f t="shared" si="5"/>
        <v>3</v>
      </c>
      <c r="BA38" s="10">
        <f t="shared" si="6"/>
        <v>45399</v>
      </c>
      <c r="BB38" s="4">
        <f t="shared" si="49"/>
        <v>0</v>
      </c>
      <c r="BC38" s="4">
        <f t="shared" si="38"/>
        <v>0</v>
      </c>
      <c r="BD38" s="4">
        <f t="shared" si="39"/>
        <v>0</v>
      </c>
      <c r="BE38" s="4">
        <f t="shared" si="40"/>
        <v>0</v>
      </c>
      <c r="BF38" s="4">
        <f t="shared" si="41"/>
        <v>0</v>
      </c>
      <c r="BG38" s="4">
        <f t="shared" si="42"/>
        <v>0</v>
      </c>
      <c r="BH38" s="5"/>
      <c r="BI38" s="7">
        <f t="shared" ref="BI38:BI47" si="56">IF(SUM(BN38:BR38)&gt;0,SUM(BN38:BR38),"")</f>
        <v>45311.505230554976</v>
      </c>
      <c r="BJ38" s="7">
        <f t="shared" si="7"/>
        <v>41967.984255734933</v>
      </c>
      <c r="BK38" s="7"/>
      <c r="BM38" s="6">
        <v>4</v>
      </c>
      <c r="BN38" s="5">
        <f t="shared" si="50"/>
        <v>42560.960166919947</v>
      </c>
      <c r="BO38" s="5">
        <f t="shared" si="51"/>
        <v>0</v>
      </c>
      <c r="BP38" s="5">
        <f t="shared" si="52"/>
        <v>2680.2123538510209</v>
      </c>
      <c r="BQ38" s="5">
        <f t="shared" si="53"/>
        <v>0</v>
      </c>
      <c r="BR38" s="5">
        <f t="shared" si="54"/>
        <v>70.332709784007676</v>
      </c>
      <c r="CC38" s="6"/>
      <c r="CD38" s="54"/>
      <c r="CE38" s="55"/>
      <c r="CF38" s="55"/>
      <c r="CG38" s="55"/>
      <c r="CH38" s="55"/>
      <c r="CI38" s="55"/>
      <c r="CJ38" s="55"/>
      <c r="DB38" s="4"/>
    </row>
    <row r="39" spans="1:106" x14ac:dyDescent="0.3">
      <c r="A39" s="9">
        <v>4</v>
      </c>
      <c r="B39" s="6">
        <f t="shared" si="8"/>
        <v>4</v>
      </c>
      <c r="C39" s="46">
        <f>IF(A39&lt;=$C$19,'Fechas de pago'!B23,"")</f>
        <v>45429</v>
      </c>
      <c r="D39" s="4">
        <f t="shared" si="9"/>
        <v>391318.22294397763</v>
      </c>
      <c r="E39" s="4">
        <f t="shared" si="10"/>
        <v>42050.520039355164</v>
      </c>
      <c r="F39" s="4">
        <f t="shared" si="11"/>
        <v>3260.9851911998135</v>
      </c>
      <c r="G39" s="4">
        <f t="shared" si="12"/>
        <v>45311.505230554976</v>
      </c>
      <c r="H39" s="4">
        <f t="shared" si="13"/>
        <v>521.75763059197016</v>
      </c>
      <c r="I39" s="4">
        <f t="shared" si="14"/>
        <v>45833.262861146948</v>
      </c>
      <c r="K39" s="5"/>
      <c r="L39" s="6">
        <f t="shared" si="3"/>
        <v>4</v>
      </c>
      <c r="M39" s="10">
        <f t="shared" si="15"/>
        <v>45429</v>
      </c>
      <c r="N39" s="4">
        <f t="shared" si="43"/>
        <v>367564.02627908334</v>
      </c>
      <c r="O39" s="4">
        <f t="shared" si="16"/>
        <v>39497.926614594253</v>
      </c>
      <c r="P39" s="4">
        <f t="shared" si="17"/>
        <v>3063.0335523256945</v>
      </c>
      <c r="Q39" s="4">
        <f t="shared" si="18"/>
        <v>42560.960166919947</v>
      </c>
      <c r="R39" s="4">
        <f t="shared" si="19"/>
        <v>490.08536837211113</v>
      </c>
      <c r="S39" s="4">
        <f t="shared" si="20"/>
        <v>43051.045535292062</v>
      </c>
      <c r="T39" s="5"/>
      <c r="V39" s="6">
        <f t="shared" si="21"/>
        <v>4</v>
      </c>
      <c r="W39" s="10">
        <f t="shared" si="44"/>
        <v>45429</v>
      </c>
      <c r="X39" s="4">
        <f t="shared" si="55"/>
        <v>0</v>
      </c>
      <c r="Y39" s="4">
        <f t="shared" si="22"/>
        <v>0</v>
      </c>
      <c r="Z39" s="4">
        <f t="shared" si="23"/>
        <v>0</v>
      </c>
      <c r="AA39" s="4">
        <f t="shared" si="45"/>
        <v>0</v>
      </c>
      <c r="AB39" s="4">
        <f t="shared" si="24"/>
        <v>0</v>
      </c>
      <c r="AC39" s="4">
        <f t="shared" si="25"/>
        <v>0</v>
      </c>
      <c r="AD39" s="5"/>
      <c r="AF39" s="6">
        <f t="shared" si="26"/>
        <v>4</v>
      </c>
      <c r="AG39" s="10">
        <f t="shared" si="46"/>
        <v>45429</v>
      </c>
      <c r="AH39" s="4">
        <f t="shared" si="47"/>
        <v>607.40579831704918</v>
      </c>
      <c r="AI39" s="4">
        <f t="shared" si="27"/>
        <v>65.270994798032262</v>
      </c>
      <c r="AJ39" s="4">
        <f t="shared" si="28"/>
        <v>5.06171498597541</v>
      </c>
      <c r="AK39" s="4">
        <f t="shared" si="29"/>
        <v>70.332709784007676</v>
      </c>
      <c r="AL39" s="4">
        <f t="shared" si="30"/>
        <v>0.80987439775606562</v>
      </c>
      <c r="AM39" s="4">
        <f t="shared" si="31"/>
        <v>71.142584181763738</v>
      </c>
      <c r="AN39" s="5"/>
      <c r="AP39" s="6">
        <f t="shared" si="4"/>
        <v>4</v>
      </c>
      <c r="AQ39" s="10">
        <f t="shared" si="32"/>
        <v>45429</v>
      </c>
      <c r="AR39" s="4">
        <f t="shared" si="48"/>
        <v>23146.790866577245</v>
      </c>
      <c r="AS39" s="4">
        <f t="shared" si="33"/>
        <v>2487.3224299628773</v>
      </c>
      <c r="AT39" s="4">
        <f t="shared" si="34"/>
        <v>192.8899238881437</v>
      </c>
      <c r="AU39" s="4">
        <f t="shared" si="35"/>
        <v>2680.2123538510209</v>
      </c>
      <c r="AV39" s="4">
        <f t="shared" si="36"/>
        <v>30.862387822102992</v>
      </c>
      <c r="AW39" s="4">
        <f t="shared" si="37"/>
        <v>2711.0747416731238</v>
      </c>
      <c r="AZ39" s="6">
        <f t="shared" si="5"/>
        <v>4</v>
      </c>
      <c r="BA39" s="10">
        <f t="shared" si="6"/>
        <v>45429</v>
      </c>
      <c r="BB39" s="4">
        <f t="shared" si="49"/>
        <v>0</v>
      </c>
      <c r="BC39" s="4">
        <f t="shared" si="38"/>
        <v>0</v>
      </c>
      <c r="BD39" s="4">
        <f t="shared" si="39"/>
        <v>0</v>
      </c>
      <c r="BE39" s="4">
        <f t="shared" si="40"/>
        <v>0</v>
      </c>
      <c r="BF39" s="4">
        <f t="shared" si="41"/>
        <v>0</v>
      </c>
      <c r="BG39" s="4">
        <f t="shared" si="42"/>
        <v>0</v>
      </c>
      <c r="BH39" s="5"/>
      <c r="BI39" s="7">
        <f t="shared" si="56"/>
        <v>45311.505230554976</v>
      </c>
      <c r="BJ39" s="7">
        <f t="shared" si="7"/>
        <v>41171.388665979648</v>
      </c>
      <c r="BK39" s="7"/>
      <c r="BM39" s="6">
        <v>5</v>
      </c>
      <c r="BN39" s="5">
        <f t="shared" si="50"/>
        <v>42560.960166919947</v>
      </c>
      <c r="BO39" s="5">
        <f t="shared" si="51"/>
        <v>0</v>
      </c>
      <c r="BP39" s="5">
        <f t="shared" si="52"/>
        <v>2680.2123538510209</v>
      </c>
      <c r="BQ39" s="5">
        <f t="shared" si="53"/>
        <v>0</v>
      </c>
      <c r="BR39" s="5">
        <f t="shared" si="54"/>
        <v>70.332709784007676</v>
      </c>
      <c r="CC39" s="6"/>
      <c r="CD39" s="54"/>
      <c r="CE39" s="55"/>
      <c r="CF39" s="55"/>
      <c r="CG39" s="55"/>
      <c r="CH39" s="55"/>
      <c r="CI39" s="55"/>
      <c r="CJ39" s="55"/>
      <c r="DB39" s="4"/>
    </row>
    <row r="40" spans="1:106" x14ac:dyDescent="0.3">
      <c r="A40" s="9">
        <v>5</v>
      </c>
      <c r="B40" s="6">
        <f t="shared" si="8"/>
        <v>5</v>
      </c>
      <c r="C40" s="46">
        <f>IF(A40&lt;=$C$19,'Fechas de pago'!B24,"")</f>
        <v>45460</v>
      </c>
      <c r="D40" s="4">
        <f t="shared" si="9"/>
        <v>349267.70290462248</v>
      </c>
      <c r="E40" s="4">
        <f t="shared" si="10"/>
        <v>42400.941039683115</v>
      </c>
      <c r="F40" s="4">
        <f t="shared" si="11"/>
        <v>2910.564190871854</v>
      </c>
      <c r="G40" s="4">
        <f t="shared" si="12"/>
        <v>45311.505230554976</v>
      </c>
      <c r="H40" s="4">
        <f t="shared" si="13"/>
        <v>465.69027053949662</v>
      </c>
      <c r="I40" s="4">
        <f t="shared" si="14"/>
        <v>45777.195501094473</v>
      </c>
      <c r="K40" s="5"/>
      <c r="L40" s="6">
        <f t="shared" si="3"/>
        <v>5</v>
      </c>
      <c r="M40" s="10">
        <f t="shared" si="15"/>
        <v>45460</v>
      </c>
      <c r="N40" s="4">
        <f t="shared" si="43"/>
        <v>328066.0996644891</v>
      </c>
      <c r="O40" s="4">
        <f t="shared" si="16"/>
        <v>39827.076003049202</v>
      </c>
      <c r="P40" s="4">
        <f t="shared" si="17"/>
        <v>2733.8841638707422</v>
      </c>
      <c r="Q40" s="4">
        <f t="shared" si="18"/>
        <v>42560.960166919947</v>
      </c>
      <c r="R40" s="4">
        <f t="shared" si="19"/>
        <v>437.42146621931875</v>
      </c>
      <c r="S40" s="4">
        <f t="shared" si="20"/>
        <v>42998.381633139266</v>
      </c>
      <c r="T40" s="5"/>
      <c r="V40" s="6">
        <f t="shared" si="21"/>
        <v>5</v>
      </c>
      <c r="W40" s="10">
        <f t="shared" si="44"/>
        <v>45460</v>
      </c>
      <c r="X40" s="4">
        <f t="shared" si="55"/>
        <v>0</v>
      </c>
      <c r="Y40" s="4">
        <f t="shared" si="22"/>
        <v>0</v>
      </c>
      <c r="Z40" s="4">
        <f t="shared" si="23"/>
        <v>0</v>
      </c>
      <c r="AA40" s="4">
        <f t="shared" si="45"/>
        <v>0</v>
      </c>
      <c r="AB40" s="4">
        <f t="shared" si="24"/>
        <v>0</v>
      </c>
      <c r="AC40" s="4">
        <f t="shared" si="25"/>
        <v>0</v>
      </c>
      <c r="AD40" s="5"/>
      <c r="AF40" s="6">
        <f>V40</f>
        <v>5</v>
      </c>
      <c r="AG40" s="10">
        <f t="shared" si="46"/>
        <v>45460</v>
      </c>
      <c r="AH40" s="4">
        <f t="shared" si="47"/>
        <v>542.13480351901694</v>
      </c>
      <c r="AI40" s="4">
        <f t="shared" si="27"/>
        <v>65.814919754682535</v>
      </c>
      <c r="AJ40" s="4">
        <f t="shared" si="28"/>
        <v>4.5177900293251412</v>
      </c>
      <c r="AK40" s="4">
        <f t="shared" si="29"/>
        <v>70.332709784007676</v>
      </c>
      <c r="AL40" s="4">
        <f t="shared" si="30"/>
        <v>0.72284640469202255</v>
      </c>
      <c r="AM40" s="4">
        <f t="shared" si="31"/>
        <v>71.055556188699697</v>
      </c>
      <c r="AN40" s="5"/>
      <c r="AP40" s="6">
        <f t="shared" si="4"/>
        <v>5</v>
      </c>
      <c r="AQ40" s="10">
        <f t="shared" si="32"/>
        <v>45460</v>
      </c>
      <c r="AR40" s="4">
        <f t="shared" si="48"/>
        <v>20659.468436614367</v>
      </c>
      <c r="AS40" s="4">
        <f t="shared" si="33"/>
        <v>2508.0501168792343</v>
      </c>
      <c r="AT40" s="4">
        <f t="shared" si="34"/>
        <v>172.16223697178637</v>
      </c>
      <c r="AU40" s="4">
        <f t="shared" si="35"/>
        <v>2680.2123538510209</v>
      </c>
      <c r="AV40" s="4">
        <f t="shared" si="36"/>
        <v>27.545957915485818</v>
      </c>
      <c r="AW40" s="4">
        <f t="shared" si="37"/>
        <v>2707.7583117665067</v>
      </c>
      <c r="AZ40" s="6">
        <f t="shared" si="5"/>
        <v>5</v>
      </c>
      <c r="BA40" s="10">
        <f t="shared" si="6"/>
        <v>45460</v>
      </c>
      <c r="BB40" s="4">
        <f t="shared" si="49"/>
        <v>0</v>
      </c>
      <c r="BC40" s="4">
        <f t="shared" si="38"/>
        <v>0</v>
      </c>
      <c r="BD40" s="4">
        <f t="shared" si="39"/>
        <v>0</v>
      </c>
      <c r="BE40" s="4">
        <f t="shared" si="40"/>
        <v>0</v>
      </c>
      <c r="BF40" s="4">
        <f t="shared" si="41"/>
        <v>0</v>
      </c>
      <c r="BG40" s="4">
        <f t="shared" si="42"/>
        <v>0</v>
      </c>
      <c r="BH40" s="5"/>
      <c r="BI40" s="7">
        <f t="shared" si="56"/>
        <v>45311.505230554976</v>
      </c>
      <c r="BJ40" s="7">
        <f t="shared" si="7"/>
        <v>40389.913281420573</v>
      </c>
      <c r="BK40" s="7"/>
      <c r="BM40" s="6">
        <v>6</v>
      </c>
      <c r="BN40" s="5">
        <f t="shared" si="50"/>
        <v>42560.960166919947</v>
      </c>
      <c r="BO40" s="5">
        <f t="shared" si="51"/>
        <v>0</v>
      </c>
      <c r="BP40" s="5">
        <f t="shared" si="52"/>
        <v>2680.2123538510209</v>
      </c>
      <c r="BQ40" s="5">
        <f t="shared" si="53"/>
        <v>0</v>
      </c>
      <c r="BR40" s="5">
        <f t="shared" si="54"/>
        <v>70.332709784007676</v>
      </c>
      <c r="CC40" s="6"/>
      <c r="CD40" s="54"/>
      <c r="CE40" s="55"/>
      <c r="CF40" s="55"/>
      <c r="CG40" s="55"/>
      <c r="CH40" s="55"/>
      <c r="CI40" s="55"/>
      <c r="CJ40" s="55"/>
      <c r="DB40" s="4"/>
    </row>
    <row r="41" spans="1:106" x14ac:dyDescent="0.3">
      <c r="A41" s="9">
        <v>6</v>
      </c>
      <c r="B41" s="6">
        <f t="shared" si="8"/>
        <v>6</v>
      </c>
      <c r="C41" s="46">
        <f>IF(A41&lt;=$C$19,'Fechas de pago'!B25,"")</f>
        <v>45490</v>
      </c>
      <c r="D41" s="4">
        <f t="shared" si="9"/>
        <v>306866.76186493936</v>
      </c>
      <c r="E41" s="4">
        <f t="shared" si="10"/>
        <v>42754.282215013816</v>
      </c>
      <c r="F41" s="4">
        <f t="shared" si="11"/>
        <v>2557.2230155411612</v>
      </c>
      <c r="G41" s="4">
        <f t="shared" si="12"/>
        <v>45311.505230554976</v>
      </c>
      <c r="H41" s="4">
        <f t="shared" si="13"/>
        <v>409.15568248658582</v>
      </c>
      <c r="I41" s="4">
        <f t="shared" si="14"/>
        <v>45720.66091304156</v>
      </c>
      <c r="K41" s="5"/>
      <c r="L41" s="6">
        <f t="shared" si="3"/>
        <v>6</v>
      </c>
      <c r="M41" s="10">
        <f t="shared" si="15"/>
        <v>45490</v>
      </c>
      <c r="N41" s="4">
        <f t="shared" si="43"/>
        <v>288239.02366143989</v>
      </c>
      <c r="O41" s="4">
        <f t="shared" si="16"/>
        <v>40158.968303074616</v>
      </c>
      <c r="P41" s="4">
        <f t="shared" si="17"/>
        <v>2401.9918638453323</v>
      </c>
      <c r="Q41" s="4">
        <f t="shared" si="18"/>
        <v>42560.960166919947</v>
      </c>
      <c r="R41" s="4">
        <f t="shared" si="19"/>
        <v>384.31869821525316</v>
      </c>
      <c r="S41" s="4">
        <f t="shared" si="20"/>
        <v>42945.278865135202</v>
      </c>
      <c r="T41" s="5"/>
      <c r="V41" s="6">
        <f t="shared" si="21"/>
        <v>6</v>
      </c>
      <c r="W41" s="10">
        <f t="shared" si="44"/>
        <v>45490</v>
      </c>
      <c r="X41" s="4">
        <f t="shared" si="55"/>
        <v>0</v>
      </c>
      <c r="Y41" s="4">
        <f t="shared" si="22"/>
        <v>0</v>
      </c>
      <c r="Z41" s="4">
        <f t="shared" si="23"/>
        <v>0</v>
      </c>
      <c r="AA41" s="4">
        <f t="shared" si="45"/>
        <v>0</v>
      </c>
      <c r="AB41" s="4">
        <f t="shared" si="24"/>
        <v>0</v>
      </c>
      <c r="AC41" s="4">
        <f t="shared" si="25"/>
        <v>0</v>
      </c>
      <c r="AD41" s="5"/>
      <c r="AF41" s="6">
        <f t="shared" si="26"/>
        <v>6</v>
      </c>
      <c r="AG41" s="10">
        <f t="shared" si="46"/>
        <v>45490</v>
      </c>
      <c r="AH41" s="4">
        <f t="shared" si="47"/>
        <v>476.31988376433441</v>
      </c>
      <c r="AI41" s="4">
        <f t="shared" si="27"/>
        <v>66.363377419304896</v>
      </c>
      <c r="AJ41" s="4">
        <f t="shared" si="28"/>
        <v>3.9693323647027867</v>
      </c>
      <c r="AK41" s="4">
        <f t="shared" si="29"/>
        <v>70.332709784007676</v>
      </c>
      <c r="AL41" s="4">
        <f t="shared" si="30"/>
        <v>0.63509317835244594</v>
      </c>
      <c r="AM41" s="4">
        <f t="shared" si="31"/>
        <v>70.967802962360125</v>
      </c>
      <c r="AN41" s="5"/>
      <c r="AP41" s="6">
        <f t="shared" si="4"/>
        <v>6</v>
      </c>
      <c r="AQ41" s="10">
        <f t="shared" si="32"/>
        <v>45490</v>
      </c>
      <c r="AR41" s="4">
        <f t="shared" si="48"/>
        <v>18151.41831973513</v>
      </c>
      <c r="AS41" s="4">
        <f t="shared" si="33"/>
        <v>2528.950534519895</v>
      </c>
      <c r="AT41" s="4">
        <f t="shared" si="34"/>
        <v>151.26181933112608</v>
      </c>
      <c r="AU41" s="4">
        <f t="shared" si="35"/>
        <v>2680.2123538510209</v>
      </c>
      <c r="AV41" s="4">
        <f t="shared" si="36"/>
        <v>24.201891092980173</v>
      </c>
      <c r="AW41" s="4">
        <f t="shared" si="37"/>
        <v>2704.414244944001</v>
      </c>
      <c r="AZ41" s="6">
        <f t="shared" si="5"/>
        <v>6</v>
      </c>
      <c r="BA41" s="10">
        <f t="shared" si="6"/>
        <v>45490</v>
      </c>
      <c r="BB41" s="4">
        <f t="shared" si="49"/>
        <v>0</v>
      </c>
      <c r="BC41" s="4">
        <f t="shared" si="38"/>
        <v>0</v>
      </c>
      <c r="BD41" s="4">
        <f t="shared" si="39"/>
        <v>0</v>
      </c>
      <c r="BE41" s="4">
        <f t="shared" si="40"/>
        <v>0</v>
      </c>
      <c r="BF41" s="4">
        <f t="shared" si="41"/>
        <v>0</v>
      </c>
      <c r="BG41" s="4">
        <f t="shared" si="42"/>
        <v>0</v>
      </c>
      <c r="BH41" s="5"/>
      <c r="BI41" s="7">
        <f t="shared" si="56"/>
        <v>45311.505230554976</v>
      </c>
      <c r="BJ41" s="7">
        <f t="shared" si="7"/>
        <v>39623.27110498149</v>
      </c>
      <c r="BK41" s="7"/>
      <c r="BM41" s="6">
        <v>7</v>
      </c>
      <c r="BN41" s="5">
        <f t="shared" si="50"/>
        <v>42560.960166919947</v>
      </c>
      <c r="BO41" s="5">
        <f t="shared" si="51"/>
        <v>0</v>
      </c>
      <c r="BP41" s="5">
        <f t="shared" si="52"/>
        <v>2680.2123538510209</v>
      </c>
      <c r="BQ41" s="5">
        <f t="shared" si="53"/>
        <v>0</v>
      </c>
      <c r="BR41" s="5">
        <f t="shared" si="54"/>
        <v>70.332709784007676</v>
      </c>
      <c r="CC41" s="6"/>
      <c r="CD41" s="54"/>
      <c r="CE41" s="55"/>
      <c r="CF41" s="55"/>
      <c r="CG41" s="55"/>
      <c r="CH41" s="55"/>
      <c r="CI41" s="55"/>
      <c r="CJ41" s="55"/>
      <c r="DB41" s="4"/>
    </row>
    <row r="42" spans="1:106" x14ac:dyDescent="0.3">
      <c r="A42" s="9">
        <v>7</v>
      </c>
      <c r="B42" s="6">
        <f t="shared" si="8"/>
        <v>7</v>
      </c>
      <c r="C42" s="46">
        <f>IF(A42&lt;=$C$19,'Fechas de pago'!B26,"")</f>
        <v>45521</v>
      </c>
      <c r="D42" s="4">
        <f t="shared" si="9"/>
        <v>264112.47964992555</v>
      </c>
      <c r="E42" s="4">
        <f t="shared" si="10"/>
        <v>43110.567900138929</v>
      </c>
      <c r="F42" s="4">
        <f t="shared" si="11"/>
        <v>2200.9373304160463</v>
      </c>
      <c r="G42" s="4">
        <f t="shared" si="12"/>
        <v>45311.505230554976</v>
      </c>
      <c r="H42" s="4">
        <f t="shared" si="13"/>
        <v>352.1499728665674</v>
      </c>
      <c r="I42" s="4">
        <f t="shared" si="14"/>
        <v>45663.655203421542</v>
      </c>
      <c r="K42" s="5"/>
      <c r="L42" s="6">
        <f t="shared" si="3"/>
        <v>7</v>
      </c>
      <c r="M42" s="10">
        <f t="shared" si="15"/>
        <v>45521</v>
      </c>
      <c r="N42" s="4">
        <f t="shared" si="43"/>
        <v>248080.05535836527</v>
      </c>
      <c r="O42" s="4">
        <f t="shared" si="16"/>
        <v>40493.626372266903</v>
      </c>
      <c r="P42" s="4">
        <f t="shared" si="17"/>
        <v>2067.3337946530442</v>
      </c>
      <c r="Q42" s="4">
        <f t="shared" si="18"/>
        <v>42560.960166919947</v>
      </c>
      <c r="R42" s="4">
        <f t="shared" si="19"/>
        <v>330.77340714448707</v>
      </c>
      <c r="S42" s="4">
        <f t="shared" si="20"/>
        <v>42891.733574064434</v>
      </c>
      <c r="T42" s="5"/>
      <c r="V42" s="6">
        <f t="shared" si="21"/>
        <v>7</v>
      </c>
      <c r="W42" s="10">
        <f t="shared" si="44"/>
        <v>45521</v>
      </c>
      <c r="X42" s="4">
        <f t="shared" si="55"/>
        <v>0</v>
      </c>
      <c r="Y42" s="4">
        <f t="shared" si="22"/>
        <v>0</v>
      </c>
      <c r="Z42" s="4">
        <f t="shared" si="23"/>
        <v>0</v>
      </c>
      <c r="AA42" s="4">
        <f t="shared" si="45"/>
        <v>0</v>
      </c>
      <c r="AB42" s="4">
        <f t="shared" si="24"/>
        <v>0</v>
      </c>
      <c r="AC42" s="4">
        <f t="shared" si="25"/>
        <v>0</v>
      </c>
      <c r="AD42" s="5"/>
      <c r="AF42" s="6">
        <f t="shared" si="26"/>
        <v>7</v>
      </c>
      <c r="AG42" s="10">
        <f t="shared" si="46"/>
        <v>45521</v>
      </c>
      <c r="AH42" s="4">
        <f t="shared" si="47"/>
        <v>409.95650634502954</v>
      </c>
      <c r="AI42" s="4">
        <f t="shared" si="27"/>
        <v>66.916405564465762</v>
      </c>
      <c r="AJ42" s="4">
        <f t="shared" si="28"/>
        <v>3.4163042195419133</v>
      </c>
      <c r="AK42" s="4">
        <f t="shared" si="29"/>
        <v>70.332709784007676</v>
      </c>
      <c r="AL42" s="4">
        <f t="shared" si="30"/>
        <v>0.54660867512670619</v>
      </c>
      <c r="AM42" s="4">
        <f t="shared" si="31"/>
        <v>70.879318459134382</v>
      </c>
      <c r="AN42" s="5"/>
      <c r="AP42" s="6">
        <f t="shared" si="4"/>
        <v>7</v>
      </c>
      <c r="AQ42" s="10">
        <f t="shared" si="32"/>
        <v>45521</v>
      </c>
      <c r="AR42" s="4">
        <f t="shared" si="48"/>
        <v>15622.467785215234</v>
      </c>
      <c r="AS42" s="4">
        <f t="shared" si="33"/>
        <v>2550.0251223075607</v>
      </c>
      <c r="AT42" s="4">
        <f t="shared" si="34"/>
        <v>130.18723154346029</v>
      </c>
      <c r="AU42" s="4">
        <f t="shared" si="35"/>
        <v>2680.2123538510209</v>
      </c>
      <c r="AV42" s="4">
        <f t="shared" si="36"/>
        <v>20.829957046953645</v>
      </c>
      <c r="AW42" s="4">
        <f t="shared" si="37"/>
        <v>2701.0423108979744</v>
      </c>
      <c r="AZ42" s="6">
        <f t="shared" si="5"/>
        <v>7</v>
      </c>
      <c r="BA42" s="10">
        <f t="shared" si="6"/>
        <v>45521</v>
      </c>
      <c r="BB42" s="4">
        <f t="shared" si="49"/>
        <v>0</v>
      </c>
      <c r="BC42" s="4">
        <f t="shared" si="38"/>
        <v>0</v>
      </c>
      <c r="BD42" s="4">
        <f t="shared" si="39"/>
        <v>0</v>
      </c>
      <c r="BE42" s="4">
        <f t="shared" si="40"/>
        <v>0</v>
      </c>
      <c r="BF42" s="4">
        <f t="shared" si="41"/>
        <v>0</v>
      </c>
      <c r="BG42" s="4">
        <f t="shared" si="42"/>
        <v>0</v>
      </c>
      <c r="BH42" s="5"/>
      <c r="BI42" s="7">
        <f t="shared" si="56"/>
        <v>45311.505230554976</v>
      </c>
      <c r="BJ42" s="7">
        <f t="shared" si="7"/>
        <v>38871.180587086463</v>
      </c>
      <c r="BK42" s="7"/>
      <c r="BM42" s="6">
        <v>8</v>
      </c>
      <c r="BN42" s="5">
        <f t="shared" si="50"/>
        <v>42560.960166919947</v>
      </c>
      <c r="BO42" s="5">
        <f t="shared" si="51"/>
        <v>0</v>
      </c>
      <c r="BP42" s="5">
        <f t="shared" si="52"/>
        <v>2680.2123538510209</v>
      </c>
      <c r="BQ42" s="5">
        <f t="shared" si="53"/>
        <v>0</v>
      </c>
      <c r="BR42" s="5">
        <f t="shared" si="54"/>
        <v>70.332709784007676</v>
      </c>
      <c r="CC42" s="6"/>
      <c r="CD42" s="54"/>
      <c r="CE42" s="55"/>
      <c r="CF42" s="55"/>
      <c r="CG42" s="55"/>
      <c r="CH42" s="55"/>
      <c r="CI42" s="55"/>
      <c r="CJ42" s="55"/>
      <c r="DB42" s="4"/>
    </row>
    <row r="43" spans="1:106" x14ac:dyDescent="0.3">
      <c r="A43" s="9">
        <v>8</v>
      </c>
      <c r="B43" s="6">
        <f t="shared" si="8"/>
        <v>8</v>
      </c>
      <c r="C43" s="46">
        <f>IF(A43&lt;=$C$19,'Fechas de pago'!B27,"")</f>
        <v>45552</v>
      </c>
      <c r="D43" s="4">
        <f t="shared" si="9"/>
        <v>221001.91174978661</v>
      </c>
      <c r="E43" s="4">
        <f t="shared" si="10"/>
        <v>43469.822632640084</v>
      </c>
      <c r="F43" s="4">
        <f t="shared" si="11"/>
        <v>1841.6825979148882</v>
      </c>
      <c r="G43" s="4">
        <f t="shared" si="12"/>
        <v>45311.505230554976</v>
      </c>
      <c r="H43" s="4">
        <f t="shared" si="13"/>
        <v>294.66921566638212</v>
      </c>
      <c r="I43" s="4">
        <f t="shared" si="14"/>
        <v>45606.174446221361</v>
      </c>
      <c r="K43" s="5"/>
      <c r="L43" s="6">
        <f t="shared" si="3"/>
        <v>8</v>
      </c>
      <c r="M43" s="10">
        <f t="shared" si="15"/>
        <v>45552</v>
      </c>
      <c r="N43" s="4">
        <f t="shared" si="43"/>
        <v>207586.42898609836</v>
      </c>
      <c r="O43" s="4">
        <f t="shared" si="16"/>
        <v>40831.073258702461</v>
      </c>
      <c r="P43" s="4">
        <f t="shared" si="17"/>
        <v>1729.8869082174863</v>
      </c>
      <c r="Q43" s="4">
        <f t="shared" si="18"/>
        <v>42560.960166919947</v>
      </c>
      <c r="R43" s="4">
        <f t="shared" si="19"/>
        <v>276.78190531479783</v>
      </c>
      <c r="S43" s="4">
        <f t="shared" si="20"/>
        <v>42837.742072234745</v>
      </c>
      <c r="T43" s="5"/>
      <c r="V43" s="6">
        <f t="shared" si="21"/>
        <v>8</v>
      </c>
      <c r="W43" s="10">
        <f t="shared" si="44"/>
        <v>45552</v>
      </c>
      <c r="X43" s="4">
        <f t="shared" si="55"/>
        <v>0</v>
      </c>
      <c r="Y43" s="4">
        <f t="shared" si="22"/>
        <v>0</v>
      </c>
      <c r="Z43" s="4">
        <f t="shared" si="23"/>
        <v>0</v>
      </c>
      <c r="AA43" s="4">
        <f t="shared" si="45"/>
        <v>0</v>
      </c>
      <c r="AB43" s="4">
        <f t="shared" si="24"/>
        <v>0</v>
      </c>
      <c r="AC43" s="4">
        <f t="shared" si="25"/>
        <v>0</v>
      </c>
      <c r="AD43" s="5"/>
      <c r="AF43" s="6">
        <f t="shared" si="26"/>
        <v>8</v>
      </c>
      <c r="AG43" s="10">
        <f t="shared" si="46"/>
        <v>45552</v>
      </c>
      <c r="AH43" s="4">
        <f t="shared" si="47"/>
        <v>343.04010078056376</v>
      </c>
      <c r="AI43" s="4">
        <f t="shared" si="27"/>
        <v>67.474042277502974</v>
      </c>
      <c r="AJ43" s="4">
        <f t="shared" si="28"/>
        <v>2.8586675065046983</v>
      </c>
      <c r="AK43" s="4">
        <f t="shared" si="29"/>
        <v>70.332709784007676</v>
      </c>
      <c r="AL43" s="4">
        <f t="shared" si="30"/>
        <v>0.45738680104075174</v>
      </c>
      <c r="AM43" s="4">
        <f t="shared" si="31"/>
        <v>70.790096585048431</v>
      </c>
      <c r="AN43" s="5"/>
      <c r="AP43" s="6">
        <f t="shared" si="4"/>
        <v>8</v>
      </c>
      <c r="AQ43" s="10">
        <f t="shared" si="32"/>
        <v>45552</v>
      </c>
      <c r="AR43" s="4">
        <f t="shared" si="48"/>
        <v>13072.442662907673</v>
      </c>
      <c r="AS43" s="4">
        <f t="shared" si="33"/>
        <v>2571.2753316601238</v>
      </c>
      <c r="AT43" s="4">
        <f t="shared" si="34"/>
        <v>108.93702219089728</v>
      </c>
      <c r="AU43" s="4">
        <f t="shared" si="35"/>
        <v>2680.2123538510209</v>
      </c>
      <c r="AV43" s="4">
        <f t="shared" si="36"/>
        <v>17.429923550543567</v>
      </c>
      <c r="AW43" s="4">
        <f t="shared" si="37"/>
        <v>2697.6422774015646</v>
      </c>
      <c r="AZ43" s="6">
        <f t="shared" si="5"/>
        <v>8</v>
      </c>
      <c r="BA43" s="10">
        <f t="shared" si="6"/>
        <v>45552</v>
      </c>
      <c r="BB43" s="4">
        <f t="shared" si="49"/>
        <v>0</v>
      </c>
      <c r="BC43" s="4">
        <f t="shared" si="38"/>
        <v>0</v>
      </c>
      <c r="BD43" s="4">
        <f t="shared" si="39"/>
        <v>0</v>
      </c>
      <c r="BE43" s="4">
        <f t="shared" si="40"/>
        <v>0</v>
      </c>
      <c r="BF43" s="4">
        <f t="shared" si="41"/>
        <v>0</v>
      </c>
      <c r="BG43" s="4">
        <f t="shared" si="42"/>
        <v>0</v>
      </c>
      <c r="BH43" s="5"/>
      <c r="BI43" s="7">
        <f t="shared" si="56"/>
        <v>45311.505230554976</v>
      </c>
      <c r="BJ43" s="7">
        <f t="shared" si="7"/>
        <v>38133.365522260639</v>
      </c>
      <c r="BK43" s="7"/>
      <c r="BM43" s="6">
        <v>9</v>
      </c>
      <c r="BN43" s="5">
        <f t="shared" si="50"/>
        <v>42560.960166919947</v>
      </c>
      <c r="BO43" s="5">
        <f t="shared" si="51"/>
        <v>0</v>
      </c>
      <c r="BP43" s="5">
        <f t="shared" si="52"/>
        <v>2680.2123538510209</v>
      </c>
      <c r="BQ43" s="5">
        <f t="shared" si="53"/>
        <v>0</v>
      </c>
      <c r="BR43" s="5">
        <f t="shared" si="54"/>
        <v>70.332709784007676</v>
      </c>
      <c r="CC43" s="6"/>
      <c r="CD43" s="54"/>
      <c r="CE43" s="55"/>
      <c r="CF43" s="55"/>
      <c r="CG43" s="55"/>
      <c r="CH43" s="55"/>
      <c r="CI43" s="55"/>
      <c r="CJ43" s="55"/>
      <c r="DB43" s="4"/>
    </row>
    <row r="44" spans="1:106" x14ac:dyDescent="0.3">
      <c r="A44" s="9">
        <v>9</v>
      </c>
      <c r="B44" s="6">
        <f t="shared" si="8"/>
        <v>9</v>
      </c>
      <c r="C44" s="46">
        <f>IF(A44&lt;=$C$19,'Fechas de pago'!B28,"")</f>
        <v>45582</v>
      </c>
      <c r="D44" s="4">
        <f t="shared" si="9"/>
        <v>177532.0891171465</v>
      </c>
      <c r="E44" s="4">
        <f t="shared" si="10"/>
        <v>43832.071154578756</v>
      </c>
      <c r="F44" s="4">
        <f t="shared" si="11"/>
        <v>1479.434075976221</v>
      </c>
      <c r="G44" s="4">
        <f t="shared" si="12"/>
        <v>45311.505230554976</v>
      </c>
      <c r="H44" s="4">
        <f t="shared" si="13"/>
        <v>236.70945215619537</v>
      </c>
      <c r="I44" s="4">
        <f t="shared" si="14"/>
        <v>45548.214682711172</v>
      </c>
      <c r="K44" s="5"/>
      <c r="L44" s="6">
        <f t="shared" si="3"/>
        <v>9</v>
      </c>
      <c r="M44" s="10">
        <f t="shared" si="15"/>
        <v>45582</v>
      </c>
      <c r="N44" s="4">
        <f t="shared" si="43"/>
        <v>166755.35572739589</v>
      </c>
      <c r="O44" s="4">
        <f t="shared" si="16"/>
        <v>41171.33220252498</v>
      </c>
      <c r="P44" s="4">
        <f t="shared" si="17"/>
        <v>1389.6279643949658</v>
      </c>
      <c r="Q44" s="4">
        <f t="shared" si="18"/>
        <v>42560.960166919947</v>
      </c>
      <c r="R44" s="4">
        <f t="shared" si="19"/>
        <v>222.34047430319453</v>
      </c>
      <c r="S44" s="4">
        <f t="shared" si="20"/>
        <v>42783.300641223141</v>
      </c>
      <c r="T44" s="5"/>
      <c r="V44" s="6">
        <f t="shared" si="21"/>
        <v>9</v>
      </c>
      <c r="W44" s="10">
        <f t="shared" si="44"/>
        <v>45582</v>
      </c>
      <c r="X44" s="4">
        <f t="shared" si="55"/>
        <v>0</v>
      </c>
      <c r="Y44" s="4">
        <f t="shared" si="22"/>
        <v>0</v>
      </c>
      <c r="Z44" s="4">
        <f t="shared" si="23"/>
        <v>0</v>
      </c>
      <c r="AA44" s="4">
        <f t="shared" si="45"/>
        <v>0</v>
      </c>
      <c r="AB44" s="4">
        <f t="shared" si="24"/>
        <v>0</v>
      </c>
      <c r="AC44" s="4">
        <f t="shared" si="25"/>
        <v>0</v>
      </c>
      <c r="AD44" s="5"/>
      <c r="AF44" s="6">
        <f t="shared" si="26"/>
        <v>9</v>
      </c>
      <c r="AG44" s="10">
        <f t="shared" si="46"/>
        <v>45582</v>
      </c>
      <c r="AH44" s="4">
        <f t="shared" si="47"/>
        <v>275.56605850306079</v>
      </c>
      <c r="AI44" s="4">
        <f t="shared" si="27"/>
        <v>68.03632596314884</v>
      </c>
      <c r="AJ44" s="4">
        <f t="shared" si="28"/>
        <v>2.2963838208588401</v>
      </c>
      <c r="AK44" s="4">
        <f t="shared" si="29"/>
        <v>70.332709784007676</v>
      </c>
      <c r="AL44" s="4">
        <f t="shared" si="30"/>
        <v>0.36742141133741441</v>
      </c>
      <c r="AM44" s="4">
        <f t="shared" si="31"/>
        <v>70.700131195345094</v>
      </c>
      <c r="AN44" s="5"/>
      <c r="AP44" s="6">
        <f t="shared" si="4"/>
        <v>9</v>
      </c>
      <c r="AQ44" s="10">
        <f t="shared" si="32"/>
        <v>45582</v>
      </c>
      <c r="AR44" s="4">
        <f t="shared" si="48"/>
        <v>10501.16733124755</v>
      </c>
      <c r="AS44" s="4">
        <f t="shared" si="33"/>
        <v>2592.7026260906246</v>
      </c>
      <c r="AT44" s="4">
        <f t="shared" si="34"/>
        <v>87.509727760396245</v>
      </c>
      <c r="AU44" s="4">
        <f t="shared" si="35"/>
        <v>2680.2123538510209</v>
      </c>
      <c r="AV44" s="4">
        <f t="shared" si="36"/>
        <v>14.0015564416634</v>
      </c>
      <c r="AW44" s="4">
        <f t="shared" si="37"/>
        <v>2694.2139102926844</v>
      </c>
      <c r="AZ44" s="6">
        <f t="shared" si="5"/>
        <v>9</v>
      </c>
      <c r="BA44" s="10">
        <f t="shared" si="6"/>
        <v>45582</v>
      </c>
      <c r="BB44" s="4">
        <f t="shared" si="49"/>
        <v>0</v>
      </c>
      <c r="BC44" s="4">
        <f t="shared" si="38"/>
        <v>0</v>
      </c>
      <c r="BD44" s="4">
        <f t="shared" si="39"/>
        <v>0</v>
      </c>
      <c r="BE44" s="4">
        <f t="shared" si="40"/>
        <v>0</v>
      </c>
      <c r="BF44" s="4">
        <f t="shared" si="41"/>
        <v>0</v>
      </c>
      <c r="BG44" s="4">
        <f t="shared" si="42"/>
        <v>0</v>
      </c>
      <c r="BH44" s="5"/>
      <c r="BI44" s="7">
        <f t="shared" si="56"/>
        <v>45311.505230554976</v>
      </c>
      <c r="BJ44" s="7">
        <f t="shared" si="7"/>
        <v>37409.554947693723</v>
      </c>
      <c r="BK44" s="7"/>
      <c r="BM44" s="6">
        <v>10</v>
      </c>
      <c r="BN44" s="5">
        <f t="shared" si="50"/>
        <v>42560.960166919947</v>
      </c>
      <c r="BO44" s="5">
        <f t="shared" si="51"/>
        <v>0</v>
      </c>
      <c r="BP44" s="5">
        <f t="shared" si="52"/>
        <v>2680.2123538510209</v>
      </c>
      <c r="BQ44" s="5">
        <f t="shared" si="53"/>
        <v>0</v>
      </c>
      <c r="BR44" s="5">
        <f t="shared" si="54"/>
        <v>70.332709784007676</v>
      </c>
      <c r="CC44" s="6"/>
      <c r="CD44" s="54"/>
      <c r="CE44" s="55"/>
      <c r="CF44" s="55"/>
      <c r="CG44" s="55"/>
      <c r="CH44" s="55"/>
      <c r="CI44" s="55"/>
      <c r="CJ44" s="55"/>
      <c r="DB44" s="4"/>
    </row>
    <row r="45" spans="1:106" x14ac:dyDescent="0.3">
      <c r="A45" s="9">
        <v>10</v>
      </c>
      <c r="B45" s="6">
        <f t="shared" si="8"/>
        <v>10</v>
      </c>
      <c r="C45" s="46">
        <f>IF(A45&lt;=$C$19,'Fechas de pago'!B29,"")</f>
        <v>45613</v>
      </c>
      <c r="D45" s="4">
        <f t="shared" si="9"/>
        <v>133700.01796256774</v>
      </c>
      <c r="E45" s="4">
        <f t="shared" si="10"/>
        <v>44197.338414200247</v>
      </c>
      <c r="F45" s="4">
        <f t="shared" si="11"/>
        <v>1114.1668163547313</v>
      </c>
      <c r="G45" s="4">
        <f t="shared" si="12"/>
        <v>45311.505230554976</v>
      </c>
      <c r="H45" s="4">
        <f t="shared" si="13"/>
        <v>178.26669061675702</v>
      </c>
      <c r="I45" s="4">
        <f t="shared" si="14"/>
        <v>45489.771921171734</v>
      </c>
      <c r="K45" s="5"/>
      <c r="L45" s="6">
        <f t="shared" si="3"/>
        <v>10</v>
      </c>
      <c r="M45" s="10">
        <f t="shared" si="15"/>
        <v>45613</v>
      </c>
      <c r="N45" s="4">
        <f t="shared" si="43"/>
        <v>125584.02352487091</v>
      </c>
      <c r="O45" s="4">
        <f t="shared" si="16"/>
        <v>41514.426637546021</v>
      </c>
      <c r="P45" s="4">
        <f t="shared" si="17"/>
        <v>1046.5335293739242</v>
      </c>
      <c r="Q45" s="4">
        <f t="shared" si="18"/>
        <v>42560.960166919947</v>
      </c>
      <c r="R45" s="4">
        <f t="shared" si="19"/>
        <v>167.44536469982788</v>
      </c>
      <c r="S45" s="4">
        <f t="shared" si="20"/>
        <v>42728.405531619777</v>
      </c>
      <c r="T45" s="5"/>
      <c r="V45" s="6">
        <f t="shared" si="21"/>
        <v>10</v>
      </c>
      <c r="W45" s="10">
        <f t="shared" si="44"/>
        <v>45613</v>
      </c>
      <c r="X45" s="4">
        <f t="shared" si="55"/>
        <v>0</v>
      </c>
      <c r="Y45" s="4">
        <f t="shared" si="22"/>
        <v>0</v>
      </c>
      <c r="Z45" s="4">
        <f t="shared" si="23"/>
        <v>0</v>
      </c>
      <c r="AA45" s="4">
        <f t="shared" si="45"/>
        <v>0</v>
      </c>
      <c r="AB45" s="4">
        <f t="shared" si="24"/>
        <v>0</v>
      </c>
      <c r="AC45" s="4">
        <f t="shared" si="25"/>
        <v>0</v>
      </c>
      <c r="AD45" s="5"/>
      <c r="AF45" s="6">
        <f t="shared" si="26"/>
        <v>10</v>
      </c>
      <c r="AG45" s="10">
        <f t="shared" si="46"/>
        <v>45613</v>
      </c>
      <c r="AH45" s="4">
        <f t="shared" si="47"/>
        <v>207.52973253991195</v>
      </c>
      <c r="AI45" s="4">
        <f t="shared" si="27"/>
        <v>68.603295346175074</v>
      </c>
      <c r="AJ45" s="4">
        <f t="shared" si="28"/>
        <v>1.7294144378325997</v>
      </c>
      <c r="AK45" s="4">
        <f t="shared" si="29"/>
        <v>70.332709784007676</v>
      </c>
      <c r="AL45" s="4">
        <f t="shared" si="30"/>
        <v>0.27670631005321594</v>
      </c>
      <c r="AM45" s="4">
        <f t="shared" si="31"/>
        <v>70.60941609406089</v>
      </c>
      <c r="AN45" s="5"/>
      <c r="AP45" s="6">
        <f t="shared" si="4"/>
        <v>10</v>
      </c>
      <c r="AQ45" s="10">
        <f t="shared" si="32"/>
        <v>45613</v>
      </c>
      <c r="AR45" s="4">
        <f t="shared" si="48"/>
        <v>7908.4647051569264</v>
      </c>
      <c r="AS45" s="4">
        <f t="shared" si="33"/>
        <v>2614.3084813080463</v>
      </c>
      <c r="AT45" s="4">
        <f t="shared" si="34"/>
        <v>65.903872542974383</v>
      </c>
      <c r="AU45" s="4">
        <f t="shared" si="35"/>
        <v>2680.2123538510209</v>
      </c>
      <c r="AV45" s="4">
        <f t="shared" si="36"/>
        <v>10.544619606875901</v>
      </c>
      <c r="AW45" s="4">
        <f t="shared" si="37"/>
        <v>2690.7569734578969</v>
      </c>
      <c r="AZ45" s="6">
        <f t="shared" si="5"/>
        <v>10</v>
      </c>
      <c r="BA45" s="10">
        <f t="shared" si="6"/>
        <v>45613</v>
      </c>
      <c r="BB45" s="4">
        <f t="shared" si="49"/>
        <v>0</v>
      </c>
      <c r="BC45" s="4">
        <f t="shared" si="38"/>
        <v>0</v>
      </c>
      <c r="BD45" s="4">
        <f t="shared" si="39"/>
        <v>0</v>
      </c>
      <c r="BE45" s="4">
        <f t="shared" si="40"/>
        <v>0</v>
      </c>
      <c r="BF45" s="4">
        <f t="shared" si="41"/>
        <v>0</v>
      </c>
      <c r="BG45" s="4">
        <f t="shared" si="42"/>
        <v>0</v>
      </c>
      <c r="BH45" s="5"/>
      <c r="BI45" s="7">
        <f t="shared" si="56"/>
        <v>45311.505230554976</v>
      </c>
      <c r="BJ45" s="7">
        <f t="shared" si="7"/>
        <v>36699.483043728775</v>
      </c>
      <c r="BK45" s="7"/>
      <c r="BM45" s="6">
        <v>11</v>
      </c>
      <c r="BN45" s="5">
        <f t="shared" si="50"/>
        <v>42560.960166919947</v>
      </c>
      <c r="BO45" s="5">
        <f t="shared" si="51"/>
        <v>0</v>
      </c>
      <c r="BP45" s="5">
        <f t="shared" si="52"/>
        <v>2680.2123538510209</v>
      </c>
      <c r="BQ45" s="5">
        <f t="shared" si="53"/>
        <v>0</v>
      </c>
      <c r="BR45" s="5">
        <f t="shared" si="54"/>
        <v>70.332709784007676</v>
      </c>
      <c r="CC45" s="6"/>
      <c r="CD45" s="54"/>
      <c r="CE45" s="55"/>
      <c r="CF45" s="55"/>
      <c r="CG45" s="55"/>
      <c r="CH45" s="55"/>
      <c r="CI45" s="55"/>
      <c r="CJ45" s="55"/>
      <c r="DB45" s="4"/>
    </row>
    <row r="46" spans="1:106" x14ac:dyDescent="0.3">
      <c r="A46" s="9">
        <v>11</v>
      </c>
      <c r="B46" s="6">
        <f t="shared" si="8"/>
        <v>11</v>
      </c>
      <c r="C46" s="46">
        <f>IF(A46&lt;=$C$19,'Fechas de pago'!B30,"")</f>
        <v>45643</v>
      </c>
      <c r="D46" s="4">
        <f t="shared" si="9"/>
        <v>89502.679548367494</v>
      </c>
      <c r="E46" s="4">
        <f t="shared" si="10"/>
        <v>44565.649567651912</v>
      </c>
      <c r="F46" s="4">
        <f t="shared" si="11"/>
        <v>745.85566290306235</v>
      </c>
      <c r="G46" s="4">
        <f t="shared" si="12"/>
        <v>45311.505230554976</v>
      </c>
      <c r="H46" s="4">
        <f t="shared" si="13"/>
        <v>119.33690606448998</v>
      </c>
      <c r="I46" s="4">
        <f t="shared" si="14"/>
        <v>45430.842136619467</v>
      </c>
      <c r="K46" s="5"/>
      <c r="L46" s="6">
        <f t="shared" si="3"/>
        <v>11</v>
      </c>
      <c r="M46" s="10">
        <f t="shared" si="15"/>
        <v>45643</v>
      </c>
      <c r="N46" s="4">
        <f t="shared" si="43"/>
        <v>84069.596887324878</v>
      </c>
      <c r="O46" s="4">
        <f t="shared" si="16"/>
        <v>41860.380192858909</v>
      </c>
      <c r="P46" s="4">
        <f t="shared" si="17"/>
        <v>700.57997406104062</v>
      </c>
      <c r="Q46" s="4">
        <f t="shared" si="18"/>
        <v>42560.960166919947</v>
      </c>
      <c r="R46" s="4">
        <f t="shared" si="19"/>
        <v>112.0927958497665</v>
      </c>
      <c r="S46" s="4">
        <f t="shared" si="20"/>
        <v>42673.052962769711</v>
      </c>
      <c r="T46" s="5"/>
      <c r="V46" s="6">
        <f t="shared" si="21"/>
        <v>11</v>
      </c>
      <c r="W46" s="10">
        <f t="shared" si="44"/>
        <v>45643</v>
      </c>
      <c r="X46" s="4">
        <f t="shared" si="55"/>
        <v>0</v>
      </c>
      <c r="Y46" s="4">
        <f t="shared" si="22"/>
        <v>0</v>
      </c>
      <c r="Z46" s="4">
        <f t="shared" si="23"/>
        <v>0</v>
      </c>
      <c r="AA46" s="4">
        <f t="shared" si="45"/>
        <v>0</v>
      </c>
      <c r="AB46" s="4">
        <f t="shared" si="24"/>
        <v>0</v>
      </c>
      <c r="AC46" s="4">
        <f t="shared" si="25"/>
        <v>0</v>
      </c>
      <c r="AD46" s="5"/>
      <c r="AF46" s="6">
        <f t="shared" si="26"/>
        <v>11</v>
      </c>
      <c r="AG46" s="10">
        <f t="shared" si="46"/>
        <v>45643</v>
      </c>
      <c r="AH46" s="4">
        <f t="shared" si="47"/>
        <v>138.92643719373689</v>
      </c>
      <c r="AI46" s="4">
        <f t="shared" si="27"/>
        <v>69.174989474059871</v>
      </c>
      <c r="AJ46" s="4">
        <f t="shared" si="28"/>
        <v>1.1577203099478075</v>
      </c>
      <c r="AK46" s="4">
        <f t="shared" si="29"/>
        <v>70.332709784007676</v>
      </c>
      <c r="AL46" s="4">
        <f t="shared" si="30"/>
        <v>0.18523524959164919</v>
      </c>
      <c r="AM46" s="4">
        <f t="shared" si="31"/>
        <v>70.517945033599332</v>
      </c>
      <c r="AN46" s="5"/>
      <c r="AP46" s="6">
        <f t="shared" si="4"/>
        <v>11</v>
      </c>
      <c r="AQ46" s="10">
        <f t="shared" si="32"/>
        <v>45643</v>
      </c>
      <c r="AR46" s="4">
        <f t="shared" si="48"/>
        <v>5294.1562238488805</v>
      </c>
      <c r="AS46" s="4">
        <f t="shared" si="33"/>
        <v>2636.0943853189469</v>
      </c>
      <c r="AT46" s="4">
        <f t="shared" si="34"/>
        <v>44.117968532074002</v>
      </c>
      <c r="AU46" s="4">
        <f t="shared" si="35"/>
        <v>2680.2123538510209</v>
      </c>
      <c r="AV46" s="4">
        <f t="shared" si="36"/>
        <v>7.0588749651318405</v>
      </c>
      <c r="AW46" s="4">
        <f t="shared" si="37"/>
        <v>2687.2712288161529</v>
      </c>
      <c r="AZ46" s="6">
        <f t="shared" si="5"/>
        <v>11</v>
      </c>
      <c r="BA46" s="10">
        <f t="shared" si="6"/>
        <v>45643</v>
      </c>
      <c r="BB46" s="4">
        <f t="shared" si="49"/>
        <v>0</v>
      </c>
      <c r="BC46" s="4">
        <f t="shared" si="38"/>
        <v>0</v>
      </c>
      <c r="BD46" s="4">
        <f t="shared" si="39"/>
        <v>0</v>
      </c>
      <c r="BE46" s="4">
        <f t="shared" si="40"/>
        <v>0</v>
      </c>
      <c r="BF46" s="4">
        <f t="shared" si="41"/>
        <v>0</v>
      </c>
      <c r="BG46" s="4">
        <f t="shared" si="42"/>
        <v>0</v>
      </c>
      <c r="BH46" s="5"/>
      <c r="BI46" s="7">
        <f t="shared" si="56"/>
        <v>45311.505230554976</v>
      </c>
      <c r="BJ46" s="7">
        <f t="shared" si="7"/>
        <v>36002.889036239889</v>
      </c>
      <c r="BK46" s="7"/>
      <c r="BM46" s="6">
        <v>12</v>
      </c>
      <c r="BN46" s="5">
        <f t="shared" si="50"/>
        <v>42560.960166919947</v>
      </c>
      <c r="BO46" s="5">
        <f t="shared" si="51"/>
        <v>0</v>
      </c>
      <c r="BP46" s="5">
        <f t="shared" si="52"/>
        <v>2680.2123538510209</v>
      </c>
      <c r="BQ46" s="5">
        <f t="shared" si="53"/>
        <v>0</v>
      </c>
      <c r="BR46" s="5">
        <f t="shared" si="54"/>
        <v>70.332709784007676</v>
      </c>
      <c r="CC46" s="6"/>
      <c r="CD46" s="54"/>
      <c r="CE46" s="55"/>
      <c r="CF46" s="55"/>
      <c r="CG46" s="55"/>
      <c r="CH46" s="55"/>
      <c r="CI46" s="55"/>
      <c r="CJ46" s="55"/>
      <c r="DB46" s="4"/>
    </row>
    <row r="47" spans="1:106" s="52" customFormat="1" ht="12.75" customHeight="1" x14ac:dyDescent="0.3">
      <c r="A47" s="50">
        <v>12</v>
      </c>
      <c r="B47" s="6">
        <f t="shared" si="8"/>
        <v>12</v>
      </c>
      <c r="C47" s="46">
        <f>IF(A47&lt;=$C$19,'Fechas de pago'!B31,"")</f>
        <v>45674</v>
      </c>
      <c r="D47" s="4">
        <f t="shared" si="9"/>
        <v>44937.029980715575</v>
      </c>
      <c r="E47" s="4">
        <f t="shared" si="10"/>
        <v>44937.029980715677</v>
      </c>
      <c r="F47" s="4">
        <f t="shared" si="11"/>
        <v>374.47524983929645</v>
      </c>
      <c r="G47" s="4">
        <f t="shared" si="12"/>
        <v>45311.505230554976</v>
      </c>
      <c r="H47" s="4">
        <f t="shared" si="13"/>
        <v>59.916039974287436</v>
      </c>
      <c r="I47" s="4">
        <f t="shared" si="14"/>
        <v>45371.421270529267</v>
      </c>
      <c r="J47" s="3"/>
      <c r="K47" s="5"/>
      <c r="L47" s="6">
        <f t="shared" si="3"/>
        <v>12</v>
      </c>
      <c r="M47" s="10">
        <f t="shared" si="15"/>
        <v>45674</v>
      </c>
      <c r="N47" s="4">
        <f t="shared" si="43"/>
        <v>42209.216694465969</v>
      </c>
      <c r="O47" s="4">
        <f t="shared" si="16"/>
        <v>42209.216694466064</v>
      </c>
      <c r="P47" s="4">
        <f t="shared" si="17"/>
        <v>351.74347245388304</v>
      </c>
      <c r="Q47" s="4">
        <f t="shared" si="18"/>
        <v>42560.960166919947</v>
      </c>
      <c r="R47" s="4">
        <f t="shared" si="19"/>
        <v>56.278955592621287</v>
      </c>
      <c r="S47" s="4">
        <f t="shared" si="20"/>
        <v>42617.239122512568</v>
      </c>
      <c r="T47" s="5"/>
      <c r="U47" s="3"/>
      <c r="V47" s="6">
        <f t="shared" si="21"/>
        <v>12</v>
      </c>
      <c r="W47" s="10">
        <f t="shared" si="44"/>
        <v>45674</v>
      </c>
      <c r="X47" s="4">
        <f t="shared" si="55"/>
        <v>0</v>
      </c>
      <c r="Y47" s="4">
        <f t="shared" si="22"/>
        <v>0</v>
      </c>
      <c r="Z47" s="4">
        <f t="shared" si="23"/>
        <v>0</v>
      </c>
      <c r="AA47" s="4">
        <f t="shared" si="45"/>
        <v>0</v>
      </c>
      <c r="AB47" s="4">
        <f t="shared" si="24"/>
        <v>0</v>
      </c>
      <c r="AC47" s="4">
        <f t="shared" si="25"/>
        <v>0</v>
      </c>
      <c r="AD47" s="5"/>
      <c r="AE47" s="3"/>
      <c r="AF47" s="6">
        <f t="shared" si="26"/>
        <v>12</v>
      </c>
      <c r="AG47" s="10">
        <f t="shared" si="46"/>
        <v>45674</v>
      </c>
      <c r="AH47" s="4">
        <f t="shared" si="47"/>
        <v>69.751447719677017</v>
      </c>
      <c r="AI47" s="4">
        <f t="shared" si="27"/>
        <v>69.751447719677032</v>
      </c>
      <c r="AJ47" s="4">
        <f t="shared" si="28"/>
        <v>0.58126206433064187</v>
      </c>
      <c r="AK47" s="4">
        <f t="shared" si="29"/>
        <v>70.332709784007676</v>
      </c>
      <c r="AL47" s="4">
        <f t="shared" si="30"/>
        <v>9.3001930292902699E-2</v>
      </c>
      <c r="AM47" s="4">
        <f t="shared" si="31"/>
        <v>70.425711714300576</v>
      </c>
      <c r="AN47" s="5"/>
      <c r="AO47" s="3"/>
      <c r="AP47" s="6">
        <f t="shared" si="4"/>
        <v>12</v>
      </c>
      <c r="AQ47" s="10">
        <f t="shared" si="32"/>
        <v>45674</v>
      </c>
      <c r="AR47" s="4">
        <f t="shared" si="48"/>
        <v>2658.0618385299335</v>
      </c>
      <c r="AS47" s="4">
        <f t="shared" si="33"/>
        <v>2658.0618385299381</v>
      </c>
      <c r="AT47" s="4">
        <f t="shared" si="34"/>
        <v>22.150515321082779</v>
      </c>
      <c r="AU47" s="4">
        <f t="shared" si="35"/>
        <v>2680.2123538510209</v>
      </c>
      <c r="AV47" s="4">
        <f t="shared" si="36"/>
        <v>3.5440824513732445</v>
      </c>
      <c r="AW47" s="4">
        <f t="shared" si="37"/>
        <v>2683.7564363023944</v>
      </c>
      <c r="AX47" s="3"/>
      <c r="AY47" s="3"/>
      <c r="AZ47" s="6">
        <f t="shared" si="5"/>
        <v>12</v>
      </c>
      <c r="BA47" s="10">
        <f t="shared" si="6"/>
        <v>45674</v>
      </c>
      <c r="BB47" s="4">
        <f t="shared" si="49"/>
        <v>0</v>
      </c>
      <c r="BC47" s="4">
        <f t="shared" si="38"/>
        <v>0</v>
      </c>
      <c r="BD47" s="4">
        <f t="shared" si="39"/>
        <v>0</v>
      </c>
      <c r="BE47" s="4">
        <f t="shared" si="40"/>
        <v>0</v>
      </c>
      <c r="BF47" s="4">
        <f t="shared" si="41"/>
        <v>0</v>
      </c>
      <c r="BG47" s="4">
        <f t="shared" si="42"/>
        <v>0</v>
      </c>
      <c r="BH47" s="5"/>
      <c r="BI47" s="7">
        <f t="shared" si="56"/>
        <v>45311.505230554976</v>
      </c>
      <c r="BJ47" s="7">
        <f t="shared" si="7"/>
        <v>35319.51710086278</v>
      </c>
      <c r="BK47" s="7"/>
      <c r="BL47" s="3"/>
      <c r="BM47" s="6">
        <v>13</v>
      </c>
      <c r="BN47" s="5">
        <f t="shared" si="50"/>
        <v>42560.960166919947</v>
      </c>
      <c r="BO47" s="5">
        <f t="shared" si="51"/>
        <v>0</v>
      </c>
      <c r="BP47" s="5">
        <f t="shared" si="52"/>
        <v>2680.2123538510209</v>
      </c>
      <c r="BQ47" s="5">
        <f t="shared" si="53"/>
        <v>0</v>
      </c>
      <c r="BR47" s="5">
        <f t="shared" si="54"/>
        <v>70.332709784007676</v>
      </c>
      <c r="BS47" s="3"/>
      <c r="CC47" s="6"/>
      <c r="CD47" s="54"/>
      <c r="CE47" s="55"/>
      <c r="CF47" s="55"/>
      <c r="CG47" s="55"/>
      <c r="CH47" s="55"/>
      <c r="CI47" s="55"/>
      <c r="CJ47" s="55"/>
      <c r="DB47" s="4"/>
    </row>
    <row r="48" spans="1:106" x14ac:dyDescent="0.3">
      <c r="A48" s="9">
        <v>13</v>
      </c>
      <c r="B48" s="118" t="str">
        <f t="shared" si="8"/>
        <v/>
      </c>
      <c r="C48" s="119" t="str">
        <f>IF(A48&lt;=$C$19,'Fechas de pago'!B32,"")</f>
        <v/>
      </c>
      <c r="D48" s="45" t="str">
        <f t="shared" si="9"/>
        <v/>
      </c>
      <c r="E48" s="45" t="str">
        <f t="shared" si="10"/>
        <v/>
      </c>
      <c r="F48" s="45" t="str">
        <f t="shared" si="11"/>
        <v/>
      </c>
      <c r="G48" s="45" t="str">
        <f t="shared" si="12"/>
        <v/>
      </c>
      <c r="H48" s="45" t="str">
        <f t="shared" si="13"/>
        <v/>
      </c>
      <c r="I48" s="45" t="str">
        <f t="shared" si="14"/>
        <v/>
      </c>
      <c r="K48" s="5"/>
      <c r="L48" s="118" t="str">
        <f t="shared" si="3"/>
        <v/>
      </c>
      <c r="M48" s="121" t="str">
        <f t="shared" si="15"/>
        <v/>
      </c>
      <c r="N48" s="45" t="str">
        <f t="shared" si="43"/>
        <v/>
      </c>
      <c r="O48" s="45" t="str">
        <f t="shared" si="16"/>
        <v/>
      </c>
      <c r="P48" s="45" t="str">
        <f t="shared" si="17"/>
        <v/>
      </c>
      <c r="Q48" s="45" t="str">
        <f t="shared" si="18"/>
        <v/>
      </c>
      <c r="R48" s="45" t="str">
        <f t="shared" si="19"/>
        <v/>
      </c>
      <c r="S48" s="45" t="str">
        <f t="shared" si="20"/>
        <v/>
      </c>
      <c r="T48" s="5"/>
      <c r="V48" s="118" t="str">
        <f t="shared" si="21"/>
        <v/>
      </c>
      <c r="W48" s="121" t="str">
        <f t="shared" si="44"/>
        <v/>
      </c>
      <c r="X48" s="45" t="str">
        <f>IF(V48&gt;$C$19,"",IF(AND($C$10="Multianual Fraccionado",$C$9="Contado"),$C$12,IF(AND($C$10="Multianual Fraccionado",$C$9="Financiado"),$C$12,IF(AND($C$9="financiado",$C$10="Multianual Financiado"),X47-Y47,IF(OR($C$9="Externo",AND($C$9="financiado",$C$10="anual")),0,IF(AND($C$10="Multianual Financiado",$C$9="Contado"),0,IF(AND($C$9="CONTADO",$C$10="M13"),$C$12,0)))))))</f>
        <v/>
      </c>
      <c r="Y48" s="45" t="str">
        <f t="shared" si="22"/>
        <v/>
      </c>
      <c r="Z48" s="45" t="str">
        <f t="shared" si="23"/>
        <v/>
      </c>
      <c r="AA48" s="45">
        <f>IF(AND($C$9="financiado",$C$10="multianual financiado",V48&lt;=$C$19),-PMT($C$20/12,$C$19,$C$11),IF(AND($C$9="financiado",$C$10="anual"),0,IF(OR($C$9="promocional",$C$9="gratis",$C$9="Externo"),0,IF(AND(OR($C$10="Multianual Fraccionado",$C$10="M13"),$C$9="Contado",V48&lt;=$C$19),-PMT($C$20/12,W$29,$C$12),IF(AND($C$10="Multianual Fraccionado",$C$9="Financiado",V48&lt;=$C$19),-PMT($C$20/12,W$29,$C$12),0)))))</f>
        <v>0</v>
      </c>
      <c r="AB48" s="45" t="str">
        <f t="shared" si="24"/>
        <v/>
      </c>
      <c r="AC48" s="45" t="str">
        <f t="shared" si="25"/>
        <v/>
      </c>
      <c r="AD48" s="7"/>
      <c r="AF48" s="118" t="str">
        <f t="shared" si="26"/>
        <v/>
      </c>
      <c r="AG48" s="121" t="str">
        <f t="shared" si="46"/>
        <v/>
      </c>
      <c r="AH48" s="45" t="str">
        <f>IF(A48&lt;=$C$19,AH36,"")</f>
        <v/>
      </c>
      <c r="AI48" s="45" t="str">
        <f t="shared" si="27"/>
        <v/>
      </c>
      <c r="AJ48" s="45" t="str">
        <f t="shared" si="28"/>
        <v/>
      </c>
      <c r="AK48" s="45" t="str">
        <f t="shared" si="29"/>
        <v/>
      </c>
      <c r="AL48" s="45" t="str">
        <f t="shared" si="30"/>
        <v/>
      </c>
      <c r="AM48" s="45" t="str">
        <f t="shared" si="31"/>
        <v/>
      </c>
      <c r="AN48" s="5"/>
      <c r="AP48" s="118" t="str">
        <f t="shared" si="4"/>
        <v/>
      </c>
      <c r="AQ48" s="121" t="str">
        <f t="shared" si="32"/>
        <v/>
      </c>
      <c r="AR48" s="45" t="str">
        <f t="shared" si="48"/>
        <v/>
      </c>
      <c r="AS48" s="45" t="str">
        <f t="shared" si="33"/>
        <v/>
      </c>
      <c r="AT48" s="45" t="str">
        <f t="shared" si="34"/>
        <v/>
      </c>
      <c r="AU48" s="45" t="str">
        <f t="shared" si="35"/>
        <v/>
      </c>
      <c r="AV48" s="45" t="str">
        <f t="shared" si="36"/>
        <v/>
      </c>
      <c r="AW48" s="45" t="str">
        <f t="shared" si="37"/>
        <v/>
      </c>
      <c r="AZ48" s="118" t="str">
        <f t="shared" si="5"/>
        <v/>
      </c>
      <c r="BA48" s="121" t="str">
        <f t="shared" si="6"/>
        <v/>
      </c>
      <c r="BB48" s="45" t="str">
        <f t="shared" si="49"/>
        <v/>
      </c>
      <c r="BC48" s="45" t="str">
        <f t="shared" si="38"/>
        <v/>
      </c>
      <c r="BD48" s="45" t="str">
        <f t="shared" si="39"/>
        <v/>
      </c>
      <c r="BE48" s="45" t="str">
        <f t="shared" si="40"/>
        <v/>
      </c>
      <c r="BF48" s="45" t="str">
        <f t="shared" si="41"/>
        <v/>
      </c>
      <c r="BG48" s="45" t="str">
        <f t="shared" si="42"/>
        <v/>
      </c>
      <c r="BH48" s="5"/>
      <c r="BI48" s="122" t="str">
        <f>IF(SUM(BN48:BT48)&gt;0,SUM(BN48:BT48),"")</f>
        <v/>
      </c>
      <c r="BJ48" s="122" t="str">
        <f t="shared" si="7"/>
        <v/>
      </c>
      <c r="BK48" s="7"/>
      <c r="BM48" s="118">
        <v>14</v>
      </c>
      <c r="BN48" s="120" t="str">
        <f t="shared" si="50"/>
        <v/>
      </c>
      <c r="BO48" s="120" t="str">
        <f t="shared" si="51"/>
        <v/>
      </c>
      <c r="BP48" s="120" t="str">
        <f t="shared" si="52"/>
        <v/>
      </c>
      <c r="BQ48" s="120">
        <f t="shared" si="53"/>
        <v>0</v>
      </c>
      <c r="BR48" s="120" t="str">
        <f t="shared" si="54"/>
        <v/>
      </c>
      <c r="BS48" s="45"/>
      <c r="BT48" s="120">
        <f>IF(AND($C$9="Externo",BM48&lt;=$C$19),$D$11,0)</f>
        <v>0</v>
      </c>
      <c r="CC48" s="6"/>
      <c r="CD48" s="54"/>
      <c r="CE48" s="55"/>
      <c r="CF48" s="55"/>
      <c r="CG48" s="55"/>
      <c r="CH48" s="55"/>
      <c r="CI48" s="56"/>
      <c r="CJ48" s="56"/>
      <c r="DB48" s="51"/>
    </row>
    <row r="49" spans="1:106" x14ac:dyDescent="0.3">
      <c r="A49" s="9">
        <v>14</v>
      </c>
      <c r="B49" s="6" t="str">
        <f t="shared" si="8"/>
        <v/>
      </c>
      <c r="C49" s="46" t="str">
        <f>IF(A49&lt;=$C$19,'Fechas de pago'!B33,"")</f>
        <v/>
      </c>
      <c r="D49" s="4" t="str">
        <f t="shared" si="9"/>
        <v/>
      </c>
      <c r="E49" s="4" t="str">
        <f t="shared" si="10"/>
        <v/>
      </c>
      <c r="F49" s="4" t="str">
        <f t="shared" si="11"/>
        <v/>
      </c>
      <c r="G49" s="4" t="str">
        <f t="shared" si="12"/>
        <v/>
      </c>
      <c r="H49" s="4" t="str">
        <f t="shared" si="13"/>
        <v/>
      </c>
      <c r="I49" s="4" t="str">
        <f t="shared" si="14"/>
        <v/>
      </c>
      <c r="K49" s="5"/>
      <c r="L49" s="6" t="str">
        <f t="shared" si="3"/>
        <v/>
      </c>
      <c r="M49" s="10" t="str">
        <f t="shared" si="15"/>
        <v/>
      </c>
      <c r="N49" s="4" t="str">
        <f t="shared" si="43"/>
        <v/>
      </c>
      <c r="O49" s="4" t="str">
        <f t="shared" si="16"/>
        <v/>
      </c>
      <c r="P49" s="4" t="str">
        <f t="shared" si="17"/>
        <v/>
      </c>
      <c r="Q49" s="4" t="str">
        <f t="shared" si="18"/>
        <v/>
      </c>
      <c r="R49" s="4" t="str">
        <f t="shared" si="19"/>
        <v/>
      </c>
      <c r="S49" s="4" t="str">
        <f t="shared" si="20"/>
        <v/>
      </c>
      <c r="T49" s="5"/>
      <c r="V49" s="6" t="str">
        <f t="shared" si="21"/>
        <v/>
      </c>
      <c r="W49" s="10" t="str">
        <f t="shared" si="44"/>
        <v/>
      </c>
      <c r="X49" s="4" t="str">
        <f t="shared" ref="X49:X59" si="57">IF(A49&lt;=$C$19,X48-Y48,"")</f>
        <v/>
      </c>
      <c r="Y49" s="4" t="str">
        <f t="shared" si="22"/>
        <v/>
      </c>
      <c r="Z49" s="4" t="str">
        <f t="shared" si="23"/>
        <v/>
      </c>
      <c r="AA49" s="4">
        <f t="shared" ref="AA49:AA59" si="58">IF(AND($C$9="financiado",$C$10="multianual financiado",V49&lt;=$C$19),-PMT($C$20/12,$C$19,$C$11),IF(AND($C$9="financiado",$C$10="anual"),0,IF(OR($C$9="promocional",$C$9="gratis",$C$9="Externo"),0,IF(AND(OR($C$10="Multianual Fraccionado",$C$10="M13"),$C$9="Contado",V49&lt;=$C$19),-PMT($C$20/12,W$29,$C$12),IF(AND($C$10="Multianual Fraccionado",$C$9="Financiado",V49&lt;=$C$19),-PMT($C$20/12,W$29,$C$12),0)))))</f>
        <v>0</v>
      </c>
      <c r="AB49" s="4" t="str">
        <f t="shared" si="24"/>
        <v/>
      </c>
      <c r="AC49" s="4" t="str">
        <f t="shared" si="25"/>
        <v/>
      </c>
      <c r="AD49" s="5"/>
      <c r="AF49" s="6" t="str">
        <f t="shared" si="26"/>
        <v/>
      </c>
      <c r="AG49" s="10" t="str">
        <f t="shared" si="46"/>
        <v/>
      </c>
      <c r="AH49" s="4" t="str">
        <f t="shared" ref="AH49:AH59" si="59">IF(A49&lt;=$C$19,AH48-AI48,"")</f>
        <v/>
      </c>
      <c r="AI49" s="4" t="str">
        <f t="shared" si="27"/>
        <v/>
      </c>
      <c r="AJ49" s="4" t="str">
        <f t="shared" si="28"/>
        <v/>
      </c>
      <c r="AK49" s="4" t="str">
        <f t="shared" si="29"/>
        <v/>
      </c>
      <c r="AL49" s="4" t="str">
        <f t="shared" si="30"/>
        <v/>
      </c>
      <c r="AM49" s="4" t="str">
        <f t="shared" si="31"/>
        <v/>
      </c>
      <c r="AN49" s="5"/>
      <c r="AP49" s="6" t="str">
        <f t="shared" si="4"/>
        <v/>
      </c>
      <c r="AQ49" s="10" t="str">
        <f t="shared" si="32"/>
        <v/>
      </c>
      <c r="AR49" s="4" t="str">
        <f t="shared" si="48"/>
        <v/>
      </c>
      <c r="AS49" s="4" t="str">
        <f t="shared" si="33"/>
        <v/>
      </c>
      <c r="AT49" s="4" t="str">
        <f t="shared" si="34"/>
        <v/>
      </c>
      <c r="AU49" s="4" t="str">
        <f t="shared" si="35"/>
        <v/>
      </c>
      <c r="AV49" s="4" t="str">
        <f t="shared" si="36"/>
        <v/>
      </c>
      <c r="AW49" s="4" t="str">
        <f t="shared" si="37"/>
        <v/>
      </c>
      <c r="AZ49" s="6" t="str">
        <f t="shared" si="5"/>
        <v/>
      </c>
      <c r="BA49" s="10" t="str">
        <f t="shared" si="6"/>
        <v/>
      </c>
      <c r="BB49" s="4" t="str">
        <f t="shared" si="49"/>
        <v/>
      </c>
      <c r="BC49" s="4" t="str">
        <f t="shared" si="38"/>
        <v/>
      </c>
      <c r="BD49" s="4" t="str">
        <f t="shared" si="39"/>
        <v/>
      </c>
      <c r="BE49" s="4" t="str">
        <f t="shared" si="40"/>
        <v/>
      </c>
      <c r="BF49" s="4" t="str">
        <f t="shared" si="41"/>
        <v/>
      </c>
      <c r="BG49" s="4" t="str">
        <f t="shared" si="42"/>
        <v/>
      </c>
      <c r="BH49" s="5"/>
      <c r="BI49" s="7" t="str">
        <f t="shared" ref="BI49:BI107" si="60">IF(SUM(BN49:BR49)&gt;0,SUM(BN49:BR49),"")</f>
        <v/>
      </c>
      <c r="BJ49" s="7" t="str">
        <f t="shared" si="7"/>
        <v/>
      </c>
      <c r="BK49" s="7"/>
      <c r="BM49" s="6">
        <v>15</v>
      </c>
      <c r="BN49" s="5" t="str">
        <f t="shared" si="50"/>
        <v/>
      </c>
      <c r="BO49" s="5" t="str">
        <f t="shared" si="51"/>
        <v/>
      </c>
      <c r="BP49" s="5" t="str">
        <f t="shared" si="52"/>
        <v/>
      </c>
      <c r="BQ49" s="5">
        <f t="shared" si="53"/>
        <v>0</v>
      </c>
      <c r="BR49" s="5" t="str">
        <f t="shared" si="54"/>
        <v/>
      </c>
      <c r="CC49" s="6"/>
      <c r="CD49" s="54"/>
      <c r="CE49" s="55"/>
      <c r="CF49" s="55"/>
      <c r="CG49" s="55"/>
      <c r="CH49" s="55"/>
      <c r="CI49" s="55"/>
      <c r="CJ49" s="55"/>
      <c r="DB49" s="4"/>
    </row>
    <row r="50" spans="1:106" x14ac:dyDescent="0.3">
      <c r="A50" s="9">
        <v>15</v>
      </c>
      <c r="B50" s="6" t="str">
        <f t="shared" si="8"/>
        <v/>
      </c>
      <c r="C50" s="46" t="str">
        <f>IF(A50&lt;=$C$19,'Fechas de pago'!B34,"")</f>
        <v/>
      </c>
      <c r="D50" s="4" t="str">
        <f t="shared" si="9"/>
        <v/>
      </c>
      <c r="E50" s="4" t="str">
        <f t="shared" si="10"/>
        <v/>
      </c>
      <c r="F50" s="4" t="str">
        <f t="shared" si="11"/>
        <v/>
      </c>
      <c r="G50" s="4" t="str">
        <f t="shared" si="12"/>
        <v/>
      </c>
      <c r="H50" s="4" t="str">
        <f t="shared" si="13"/>
        <v/>
      </c>
      <c r="I50" s="4" t="str">
        <f t="shared" si="14"/>
        <v/>
      </c>
      <c r="K50" s="5"/>
      <c r="L50" s="6" t="str">
        <f t="shared" si="3"/>
        <v/>
      </c>
      <c r="M50" s="10" t="str">
        <f t="shared" si="15"/>
        <v/>
      </c>
      <c r="N50" s="4" t="str">
        <f t="shared" si="43"/>
        <v/>
      </c>
      <c r="O50" s="4" t="str">
        <f t="shared" si="16"/>
        <v/>
      </c>
      <c r="P50" s="4" t="str">
        <f t="shared" si="17"/>
        <v/>
      </c>
      <c r="Q50" s="4" t="str">
        <f t="shared" si="18"/>
        <v/>
      </c>
      <c r="R50" s="4" t="str">
        <f t="shared" si="19"/>
        <v/>
      </c>
      <c r="S50" s="4" t="str">
        <f t="shared" si="20"/>
        <v/>
      </c>
      <c r="T50" s="5"/>
      <c r="V50" s="6" t="str">
        <f t="shared" si="21"/>
        <v/>
      </c>
      <c r="W50" s="10" t="str">
        <f t="shared" si="44"/>
        <v/>
      </c>
      <c r="X50" s="4" t="str">
        <f t="shared" si="57"/>
        <v/>
      </c>
      <c r="Y50" s="4" t="str">
        <f t="shared" si="22"/>
        <v/>
      </c>
      <c r="Z50" s="4" t="str">
        <f t="shared" si="23"/>
        <v/>
      </c>
      <c r="AA50" s="4">
        <f t="shared" si="58"/>
        <v>0</v>
      </c>
      <c r="AB50" s="4" t="str">
        <f t="shared" si="24"/>
        <v/>
      </c>
      <c r="AC50" s="4" t="str">
        <f t="shared" si="25"/>
        <v/>
      </c>
      <c r="AD50" s="5"/>
      <c r="AF50" s="6" t="str">
        <f t="shared" si="26"/>
        <v/>
      </c>
      <c r="AG50" s="10" t="str">
        <f t="shared" si="46"/>
        <v/>
      </c>
      <c r="AH50" s="4" t="str">
        <f t="shared" si="59"/>
        <v/>
      </c>
      <c r="AI50" s="4" t="str">
        <f t="shared" si="27"/>
        <v/>
      </c>
      <c r="AJ50" s="4" t="str">
        <f t="shared" si="28"/>
        <v/>
      </c>
      <c r="AK50" s="4" t="str">
        <f t="shared" si="29"/>
        <v/>
      </c>
      <c r="AL50" s="4" t="str">
        <f t="shared" si="30"/>
        <v/>
      </c>
      <c r="AM50" s="4" t="str">
        <f t="shared" si="31"/>
        <v/>
      </c>
      <c r="AN50" s="5"/>
      <c r="AP50" s="6" t="str">
        <f t="shared" si="4"/>
        <v/>
      </c>
      <c r="AQ50" s="10" t="str">
        <f t="shared" si="32"/>
        <v/>
      </c>
      <c r="AR50" s="4" t="str">
        <f t="shared" si="48"/>
        <v/>
      </c>
      <c r="AS50" s="4" t="str">
        <f t="shared" si="33"/>
        <v/>
      </c>
      <c r="AT50" s="4" t="str">
        <f t="shared" si="34"/>
        <v/>
      </c>
      <c r="AU50" s="4" t="str">
        <f t="shared" si="35"/>
        <v/>
      </c>
      <c r="AV50" s="4" t="str">
        <f t="shared" si="36"/>
        <v/>
      </c>
      <c r="AW50" s="4" t="str">
        <f t="shared" si="37"/>
        <v/>
      </c>
      <c r="AZ50" s="6" t="str">
        <f t="shared" si="5"/>
        <v/>
      </c>
      <c r="BA50" s="10" t="str">
        <f t="shared" si="6"/>
        <v/>
      </c>
      <c r="BB50" s="4" t="str">
        <f t="shared" si="49"/>
        <v/>
      </c>
      <c r="BC50" s="4" t="str">
        <f t="shared" si="38"/>
        <v/>
      </c>
      <c r="BD50" s="4" t="str">
        <f t="shared" si="39"/>
        <v/>
      </c>
      <c r="BE50" s="4" t="str">
        <f t="shared" si="40"/>
        <v/>
      </c>
      <c r="BF50" s="4" t="str">
        <f t="shared" si="41"/>
        <v/>
      </c>
      <c r="BG50" s="4" t="str">
        <f t="shared" si="42"/>
        <v/>
      </c>
      <c r="BH50" s="5"/>
      <c r="BI50" s="7" t="str">
        <f t="shared" si="60"/>
        <v/>
      </c>
      <c r="BJ50" s="7" t="str">
        <f t="shared" si="7"/>
        <v/>
      </c>
      <c r="BK50" s="7"/>
      <c r="BM50" s="6">
        <v>16</v>
      </c>
      <c r="BN50" s="5" t="str">
        <f t="shared" si="50"/>
        <v/>
      </c>
      <c r="BO50" s="5" t="str">
        <f t="shared" si="51"/>
        <v/>
      </c>
      <c r="BP50" s="5" t="str">
        <f t="shared" si="52"/>
        <v/>
      </c>
      <c r="BQ50" s="5">
        <f t="shared" si="53"/>
        <v>0</v>
      </c>
      <c r="BR50" s="5" t="str">
        <f t="shared" si="54"/>
        <v/>
      </c>
      <c r="CC50" s="6"/>
      <c r="CD50" s="54"/>
      <c r="CE50" s="55"/>
      <c r="CF50" s="55"/>
      <c r="CG50" s="55"/>
      <c r="CH50" s="55"/>
      <c r="CI50" s="55"/>
      <c r="CJ50" s="55"/>
      <c r="DB50" s="4"/>
    </row>
    <row r="51" spans="1:106" x14ac:dyDescent="0.3">
      <c r="A51" s="9">
        <v>16</v>
      </c>
      <c r="B51" s="6" t="str">
        <f t="shared" si="8"/>
        <v/>
      </c>
      <c r="C51" s="46" t="str">
        <f>IF(A51&lt;=$C$19,'Fechas de pago'!B35,"")</f>
        <v/>
      </c>
      <c r="D51" s="4" t="str">
        <f t="shared" si="9"/>
        <v/>
      </c>
      <c r="E51" s="4" t="str">
        <f t="shared" si="10"/>
        <v/>
      </c>
      <c r="F51" s="4" t="str">
        <f t="shared" si="11"/>
        <v/>
      </c>
      <c r="G51" s="4" t="str">
        <f t="shared" si="12"/>
        <v/>
      </c>
      <c r="H51" s="4" t="str">
        <f t="shared" si="13"/>
        <v/>
      </c>
      <c r="I51" s="4" t="str">
        <f t="shared" si="14"/>
        <v/>
      </c>
      <c r="K51" s="5"/>
      <c r="L51" s="6" t="str">
        <f t="shared" si="3"/>
        <v/>
      </c>
      <c r="M51" s="10" t="str">
        <f t="shared" si="15"/>
        <v/>
      </c>
      <c r="N51" s="4" t="str">
        <f t="shared" si="43"/>
        <v/>
      </c>
      <c r="O51" s="4" t="str">
        <f t="shared" si="16"/>
        <v/>
      </c>
      <c r="P51" s="4" t="str">
        <f t="shared" si="17"/>
        <v/>
      </c>
      <c r="Q51" s="4" t="str">
        <f t="shared" si="18"/>
        <v/>
      </c>
      <c r="R51" s="4" t="str">
        <f t="shared" si="19"/>
        <v/>
      </c>
      <c r="S51" s="4" t="str">
        <f t="shared" si="20"/>
        <v/>
      </c>
      <c r="T51" s="5"/>
      <c r="V51" s="6" t="str">
        <f t="shared" si="21"/>
        <v/>
      </c>
      <c r="W51" s="10" t="str">
        <f t="shared" si="44"/>
        <v/>
      </c>
      <c r="X51" s="4" t="str">
        <f t="shared" si="57"/>
        <v/>
      </c>
      <c r="Y51" s="4" t="str">
        <f t="shared" si="22"/>
        <v/>
      </c>
      <c r="Z51" s="4" t="str">
        <f t="shared" si="23"/>
        <v/>
      </c>
      <c r="AA51" s="4">
        <f t="shared" si="58"/>
        <v>0</v>
      </c>
      <c r="AB51" s="4" t="str">
        <f t="shared" si="24"/>
        <v/>
      </c>
      <c r="AC51" s="4" t="str">
        <f t="shared" si="25"/>
        <v/>
      </c>
      <c r="AD51" s="5"/>
      <c r="AF51" s="6" t="str">
        <f t="shared" si="26"/>
        <v/>
      </c>
      <c r="AG51" s="10" t="str">
        <f t="shared" si="46"/>
        <v/>
      </c>
      <c r="AH51" s="4" t="str">
        <f t="shared" si="59"/>
        <v/>
      </c>
      <c r="AI51" s="4" t="str">
        <f t="shared" si="27"/>
        <v/>
      </c>
      <c r="AJ51" s="4" t="str">
        <f t="shared" si="28"/>
        <v/>
      </c>
      <c r="AK51" s="4" t="str">
        <f t="shared" si="29"/>
        <v/>
      </c>
      <c r="AL51" s="4" t="str">
        <f t="shared" si="30"/>
        <v/>
      </c>
      <c r="AM51" s="4" t="str">
        <f t="shared" si="31"/>
        <v/>
      </c>
      <c r="AN51" s="5"/>
      <c r="AP51" s="6" t="str">
        <f t="shared" si="4"/>
        <v/>
      </c>
      <c r="AQ51" s="10" t="str">
        <f t="shared" si="32"/>
        <v/>
      </c>
      <c r="AR51" s="4" t="str">
        <f t="shared" si="48"/>
        <v/>
      </c>
      <c r="AS51" s="4" t="str">
        <f t="shared" si="33"/>
        <v/>
      </c>
      <c r="AT51" s="4" t="str">
        <f t="shared" si="34"/>
        <v/>
      </c>
      <c r="AU51" s="4" t="str">
        <f t="shared" si="35"/>
        <v/>
      </c>
      <c r="AV51" s="4" t="str">
        <f t="shared" si="36"/>
        <v/>
      </c>
      <c r="AW51" s="4" t="str">
        <f t="shared" si="37"/>
        <v/>
      </c>
      <c r="AZ51" s="6" t="str">
        <f t="shared" si="5"/>
        <v/>
      </c>
      <c r="BA51" s="10" t="str">
        <f t="shared" si="6"/>
        <v/>
      </c>
      <c r="BB51" s="4" t="str">
        <f t="shared" si="49"/>
        <v/>
      </c>
      <c r="BC51" s="4" t="str">
        <f t="shared" si="38"/>
        <v/>
      </c>
      <c r="BD51" s="4" t="str">
        <f t="shared" si="39"/>
        <v/>
      </c>
      <c r="BE51" s="4" t="str">
        <f t="shared" si="40"/>
        <v/>
      </c>
      <c r="BF51" s="4" t="str">
        <f t="shared" si="41"/>
        <v/>
      </c>
      <c r="BG51" s="4" t="str">
        <f t="shared" si="42"/>
        <v/>
      </c>
      <c r="BH51" s="5"/>
      <c r="BI51" s="7" t="str">
        <f t="shared" si="60"/>
        <v/>
      </c>
      <c r="BJ51" s="7" t="str">
        <f t="shared" si="7"/>
        <v/>
      </c>
      <c r="BK51" s="7"/>
      <c r="BM51" s="6">
        <v>17</v>
      </c>
      <c r="BN51" s="5" t="str">
        <f t="shared" si="50"/>
        <v/>
      </c>
      <c r="BO51" s="5" t="str">
        <f t="shared" si="51"/>
        <v/>
      </c>
      <c r="BP51" s="5" t="str">
        <f t="shared" si="52"/>
        <v/>
      </c>
      <c r="BQ51" s="5">
        <f t="shared" si="53"/>
        <v>0</v>
      </c>
      <c r="BR51" s="5" t="str">
        <f t="shared" si="54"/>
        <v/>
      </c>
      <c r="CC51" s="6"/>
      <c r="CD51" s="54"/>
      <c r="CE51" s="55"/>
      <c r="CF51" s="55"/>
      <c r="CG51" s="55"/>
      <c r="CH51" s="55"/>
      <c r="CI51" s="55"/>
      <c r="CJ51" s="55"/>
      <c r="DB51" s="4"/>
    </row>
    <row r="52" spans="1:106" x14ac:dyDescent="0.3">
      <c r="A52" s="9">
        <v>17</v>
      </c>
      <c r="B52" s="6" t="str">
        <f t="shared" si="8"/>
        <v/>
      </c>
      <c r="C52" s="46" t="str">
        <f>IF(A52&lt;=$C$19,'Fechas de pago'!B36,"")</f>
        <v/>
      </c>
      <c r="D52" s="4" t="str">
        <f t="shared" si="9"/>
        <v/>
      </c>
      <c r="E52" s="4" t="str">
        <f t="shared" si="10"/>
        <v/>
      </c>
      <c r="F52" s="4" t="str">
        <f t="shared" si="11"/>
        <v/>
      </c>
      <c r="G52" s="4" t="str">
        <f t="shared" si="12"/>
        <v/>
      </c>
      <c r="H52" s="4" t="str">
        <f t="shared" si="13"/>
        <v/>
      </c>
      <c r="I52" s="4" t="str">
        <f t="shared" si="14"/>
        <v/>
      </c>
      <c r="K52" s="5"/>
      <c r="L52" s="6" t="str">
        <f t="shared" si="3"/>
        <v/>
      </c>
      <c r="M52" s="10" t="str">
        <f t="shared" si="15"/>
        <v/>
      </c>
      <c r="N52" s="4" t="str">
        <f t="shared" si="43"/>
        <v/>
      </c>
      <c r="O52" s="4" t="str">
        <f t="shared" si="16"/>
        <v/>
      </c>
      <c r="P52" s="4" t="str">
        <f t="shared" si="17"/>
        <v/>
      </c>
      <c r="Q52" s="4" t="str">
        <f t="shared" si="18"/>
        <v/>
      </c>
      <c r="R52" s="4" t="str">
        <f t="shared" si="19"/>
        <v/>
      </c>
      <c r="S52" s="4" t="str">
        <f t="shared" si="20"/>
        <v/>
      </c>
      <c r="T52" s="5"/>
      <c r="V52" s="6" t="str">
        <f t="shared" si="21"/>
        <v/>
      </c>
      <c r="W52" s="10" t="str">
        <f t="shared" si="44"/>
        <v/>
      </c>
      <c r="X52" s="4" t="str">
        <f t="shared" si="57"/>
        <v/>
      </c>
      <c r="Y52" s="4" t="str">
        <f t="shared" si="22"/>
        <v/>
      </c>
      <c r="Z52" s="4" t="str">
        <f t="shared" si="23"/>
        <v/>
      </c>
      <c r="AA52" s="4">
        <f t="shared" si="58"/>
        <v>0</v>
      </c>
      <c r="AB52" s="4" t="str">
        <f t="shared" si="24"/>
        <v/>
      </c>
      <c r="AC52" s="4" t="str">
        <f t="shared" si="25"/>
        <v/>
      </c>
      <c r="AD52" s="5"/>
      <c r="AF52" s="6" t="str">
        <f t="shared" si="26"/>
        <v/>
      </c>
      <c r="AG52" s="10" t="str">
        <f t="shared" si="46"/>
        <v/>
      </c>
      <c r="AH52" s="4" t="str">
        <f t="shared" si="59"/>
        <v/>
      </c>
      <c r="AI52" s="4" t="str">
        <f t="shared" si="27"/>
        <v/>
      </c>
      <c r="AJ52" s="4" t="str">
        <f t="shared" si="28"/>
        <v/>
      </c>
      <c r="AK52" s="4" t="str">
        <f t="shared" si="29"/>
        <v/>
      </c>
      <c r="AL52" s="4" t="str">
        <f t="shared" si="30"/>
        <v/>
      </c>
      <c r="AM52" s="4" t="str">
        <f t="shared" si="31"/>
        <v/>
      </c>
      <c r="AN52" s="5"/>
      <c r="AP52" s="6" t="str">
        <f t="shared" si="4"/>
        <v/>
      </c>
      <c r="AQ52" s="10" t="str">
        <f t="shared" si="32"/>
        <v/>
      </c>
      <c r="AR52" s="4" t="str">
        <f t="shared" si="48"/>
        <v/>
      </c>
      <c r="AS52" s="4" t="str">
        <f t="shared" si="33"/>
        <v/>
      </c>
      <c r="AT52" s="4" t="str">
        <f t="shared" si="34"/>
        <v/>
      </c>
      <c r="AU52" s="4" t="str">
        <f t="shared" si="35"/>
        <v/>
      </c>
      <c r="AV52" s="4" t="str">
        <f t="shared" si="36"/>
        <v/>
      </c>
      <c r="AW52" s="4" t="str">
        <f t="shared" si="37"/>
        <v/>
      </c>
      <c r="AZ52" s="6" t="str">
        <f t="shared" si="5"/>
        <v/>
      </c>
      <c r="BA52" s="10" t="str">
        <f t="shared" si="6"/>
        <v/>
      </c>
      <c r="BB52" s="4" t="str">
        <f t="shared" si="49"/>
        <v/>
      </c>
      <c r="BC52" s="4" t="str">
        <f t="shared" si="38"/>
        <v/>
      </c>
      <c r="BD52" s="4" t="str">
        <f t="shared" si="39"/>
        <v/>
      </c>
      <c r="BE52" s="4" t="str">
        <f t="shared" si="40"/>
        <v/>
      </c>
      <c r="BF52" s="4" t="str">
        <f t="shared" si="41"/>
        <v/>
      </c>
      <c r="BG52" s="4" t="str">
        <f t="shared" si="42"/>
        <v/>
      </c>
      <c r="BH52" s="5"/>
      <c r="BI52" s="7" t="str">
        <f t="shared" si="60"/>
        <v/>
      </c>
      <c r="BJ52" s="7" t="str">
        <f t="shared" si="7"/>
        <v/>
      </c>
      <c r="BK52" s="7"/>
      <c r="BM52" s="6">
        <v>18</v>
      </c>
      <c r="BN52" s="5" t="str">
        <f t="shared" si="50"/>
        <v/>
      </c>
      <c r="BO52" s="5" t="str">
        <f t="shared" si="51"/>
        <v/>
      </c>
      <c r="BP52" s="5" t="str">
        <f t="shared" si="52"/>
        <v/>
      </c>
      <c r="BQ52" s="5">
        <f t="shared" si="53"/>
        <v>0</v>
      </c>
      <c r="BR52" s="5" t="str">
        <f t="shared" si="54"/>
        <v/>
      </c>
      <c r="CC52" s="6"/>
      <c r="CD52" s="54"/>
      <c r="CE52" s="55"/>
      <c r="CF52" s="55"/>
      <c r="CG52" s="55"/>
      <c r="CH52" s="55"/>
      <c r="CI52" s="55"/>
      <c r="CJ52" s="55"/>
      <c r="DB52" s="4"/>
    </row>
    <row r="53" spans="1:106" x14ac:dyDescent="0.3">
      <c r="A53" s="9">
        <v>18</v>
      </c>
      <c r="B53" s="6" t="str">
        <f t="shared" si="8"/>
        <v/>
      </c>
      <c r="C53" s="46" t="str">
        <f>IF(A53&lt;=$C$19,'Fechas de pago'!B37,"")</f>
        <v/>
      </c>
      <c r="D53" s="4" t="str">
        <f t="shared" si="9"/>
        <v/>
      </c>
      <c r="E53" s="4" t="str">
        <f t="shared" si="10"/>
        <v/>
      </c>
      <c r="F53" s="4" t="str">
        <f t="shared" si="11"/>
        <v/>
      </c>
      <c r="G53" s="4" t="str">
        <f t="shared" si="12"/>
        <v/>
      </c>
      <c r="H53" s="4" t="str">
        <f t="shared" si="13"/>
        <v/>
      </c>
      <c r="I53" s="4" t="str">
        <f t="shared" si="14"/>
        <v/>
      </c>
      <c r="K53" s="5"/>
      <c r="L53" s="6" t="str">
        <f t="shared" si="3"/>
        <v/>
      </c>
      <c r="M53" s="10" t="str">
        <f t="shared" si="15"/>
        <v/>
      </c>
      <c r="N53" s="4" t="str">
        <f t="shared" si="43"/>
        <v/>
      </c>
      <c r="O53" s="4" t="str">
        <f t="shared" si="16"/>
        <v/>
      </c>
      <c r="P53" s="4" t="str">
        <f t="shared" si="17"/>
        <v/>
      </c>
      <c r="Q53" s="4" t="str">
        <f t="shared" si="18"/>
        <v/>
      </c>
      <c r="R53" s="4" t="str">
        <f t="shared" si="19"/>
        <v/>
      </c>
      <c r="S53" s="4" t="str">
        <f t="shared" si="20"/>
        <v/>
      </c>
      <c r="T53" s="5"/>
      <c r="V53" s="6" t="str">
        <f t="shared" si="21"/>
        <v/>
      </c>
      <c r="W53" s="10" t="str">
        <f t="shared" si="44"/>
        <v/>
      </c>
      <c r="X53" s="4" t="str">
        <f t="shared" si="57"/>
        <v/>
      </c>
      <c r="Y53" s="4" t="str">
        <f t="shared" si="22"/>
        <v/>
      </c>
      <c r="Z53" s="4" t="str">
        <f t="shared" si="23"/>
        <v/>
      </c>
      <c r="AA53" s="4">
        <f t="shared" si="58"/>
        <v>0</v>
      </c>
      <c r="AB53" s="4" t="str">
        <f t="shared" si="24"/>
        <v/>
      </c>
      <c r="AC53" s="4" t="str">
        <f t="shared" si="25"/>
        <v/>
      </c>
      <c r="AD53" s="5"/>
      <c r="AF53" s="6" t="str">
        <f t="shared" si="26"/>
        <v/>
      </c>
      <c r="AG53" s="10" t="str">
        <f t="shared" si="46"/>
        <v/>
      </c>
      <c r="AH53" s="4" t="str">
        <f t="shared" si="59"/>
        <v/>
      </c>
      <c r="AI53" s="4" t="str">
        <f t="shared" si="27"/>
        <v/>
      </c>
      <c r="AJ53" s="4" t="str">
        <f t="shared" si="28"/>
        <v/>
      </c>
      <c r="AK53" s="4" t="str">
        <f t="shared" si="29"/>
        <v/>
      </c>
      <c r="AL53" s="4" t="str">
        <f t="shared" si="30"/>
        <v/>
      </c>
      <c r="AM53" s="4" t="str">
        <f t="shared" si="31"/>
        <v/>
      </c>
      <c r="AN53" s="5"/>
      <c r="AP53" s="6" t="str">
        <f t="shared" si="4"/>
        <v/>
      </c>
      <c r="AQ53" s="10" t="str">
        <f t="shared" si="32"/>
        <v/>
      </c>
      <c r="AR53" s="4" t="str">
        <f t="shared" si="48"/>
        <v/>
      </c>
      <c r="AS53" s="4" t="str">
        <f t="shared" si="33"/>
        <v/>
      </c>
      <c r="AT53" s="4" t="str">
        <f t="shared" si="34"/>
        <v/>
      </c>
      <c r="AU53" s="4" t="str">
        <f t="shared" si="35"/>
        <v/>
      </c>
      <c r="AV53" s="4" t="str">
        <f t="shared" si="36"/>
        <v/>
      </c>
      <c r="AW53" s="4" t="str">
        <f t="shared" si="37"/>
        <v/>
      </c>
      <c r="AZ53" s="6" t="str">
        <f t="shared" si="5"/>
        <v/>
      </c>
      <c r="BA53" s="10" t="str">
        <f t="shared" si="6"/>
        <v/>
      </c>
      <c r="BB53" s="4" t="str">
        <f t="shared" si="49"/>
        <v/>
      </c>
      <c r="BC53" s="4" t="str">
        <f t="shared" si="38"/>
        <v/>
      </c>
      <c r="BD53" s="4" t="str">
        <f t="shared" si="39"/>
        <v/>
      </c>
      <c r="BE53" s="4" t="str">
        <f t="shared" si="40"/>
        <v/>
      </c>
      <c r="BF53" s="4" t="str">
        <f t="shared" si="41"/>
        <v/>
      </c>
      <c r="BG53" s="4" t="str">
        <f t="shared" si="42"/>
        <v/>
      </c>
      <c r="BH53" s="5"/>
      <c r="BI53" s="7" t="str">
        <f t="shared" si="60"/>
        <v/>
      </c>
      <c r="BJ53" s="7" t="str">
        <f t="shared" si="7"/>
        <v/>
      </c>
      <c r="BK53" s="7"/>
      <c r="BM53" s="6">
        <v>19</v>
      </c>
      <c r="BN53" s="5" t="str">
        <f t="shared" si="50"/>
        <v/>
      </c>
      <c r="BO53" s="5" t="str">
        <f t="shared" si="51"/>
        <v/>
      </c>
      <c r="BP53" s="5" t="str">
        <f t="shared" si="52"/>
        <v/>
      </c>
      <c r="BQ53" s="5">
        <f t="shared" si="53"/>
        <v>0</v>
      </c>
      <c r="BR53" s="5" t="str">
        <f t="shared" si="54"/>
        <v/>
      </c>
      <c r="CC53" s="6"/>
      <c r="CD53" s="54"/>
      <c r="CE53" s="55"/>
      <c r="CF53" s="55"/>
      <c r="CG53" s="55"/>
      <c r="CH53" s="55"/>
      <c r="CI53" s="55"/>
      <c r="CJ53" s="55"/>
      <c r="DB53" s="4"/>
    </row>
    <row r="54" spans="1:106" x14ac:dyDescent="0.3">
      <c r="A54" s="9">
        <v>19</v>
      </c>
      <c r="B54" s="6" t="str">
        <f t="shared" si="8"/>
        <v/>
      </c>
      <c r="C54" s="46" t="str">
        <f>IF(A54&lt;=$C$19,'Fechas de pago'!B38,"")</f>
        <v/>
      </c>
      <c r="D54" s="4" t="str">
        <f t="shared" si="9"/>
        <v/>
      </c>
      <c r="E54" s="4" t="str">
        <f t="shared" si="10"/>
        <v/>
      </c>
      <c r="F54" s="4" t="str">
        <f t="shared" si="11"/>
        <v/>
      </c>
      <c r="G54" s="4" t="str">
        <f t="shared" si="12"/>
        <v/>
      </c>
      <c r="H54" s="4" t="str">
        <f t="shared" si="13"/>
        <v/>
      </c>
      <c r="I54" s="4" t="str">
        <f t="shared" si="14"/>
        <v/>
      </c>
      <c r="K54" s="5"/>
      <c r="L54" s="6" t="str">
        <f t="shared" si="3"/>
        <v/>
      </c>
      <c r="M54" s="10" t="str">
        <f t="shared" si="15"/>
        <v/>
      </c>
      <c r="N54" s="4" t="str">
        <f t="shared" si="43"/>
        <v/>
      </c>
      <c r="O54" s="4" t="str">
        <f t="shared" si="16"/>
        <v/>
      </c>
      <c r="P54" s="4" t="str">
        <f t="shared" si="17"/>
        <v/>
      </c>
      <c r="Q54" s="4" t="str">
        <f t="shared" si="18"/>
        <v/>
      </c>
      <c r="R54" s="4" t="str">
        <f t="shared" si="19"/>
        <v/>
      </c>
      <c r="S54" s="4" t="str">
        <f t="shared" si="20"/>
        <v/>
      </c>
      <c r="T54" s="5"/>
      <c r="V54" s="6" t="str">
        <f t="shared" si="21"/>
        <v/>
      </c>
      <c r="W54" s="10" t="str">
        <f t="shared" si="44"/>
        <v/>
      </c>
      <c r="X54" s="4" t="str">
        <f t="shared" si="57"/>
        <v/>
      </c>
      <c r="Y54" s="4" t="str">
        <f t="shared" si="22"/>
        <v/>
      </c>
      <c r="Z54" s="4" t="str">
        <f t="shared" si="23"/>
        <v/>
      </c>
      <c r="AA54" s="4">
        <f t="shared" si="58"/>
        <v>0</v>
      </c>
      <c r="AB54" s="4" t="str">
        <f t="shared" si="24"/>
        <v/>
      </c>
      <c r="AC54" s="4" t="str">
        <f t="shared" si="25"/>
        <v/>
      </c>
      <c r="AD54" s="5"/>
      <c r="AF54" s="6" t="str">
        <f t="shared" si="26"/>
        <v/>
      </c>
      <c r="AG54" s="10" t="str">
        <f t="shared" si="46"/>
        <v/>
      </c>
      <c r="AH54" s="4" t="str">
        <f t="shared" si="59"/>
        <v/>
      </c>
      <c r="AI54" s="4" t="str">
        <f t="shared" si="27"/>
        <v/>
      </c>
      <c r="AJ54" s="4" t="str">
        <f t="shared" si="28"/>
        <v/>
      </c>
      <c r="AK54" s="4" t="str">
        <f t="shared" si="29"/>
        <v/>
      </c>
      <c r="AL54" s="4" t="str">
        <f t="shared" si="30"/>
        <v/>
      </c>
      <c r="AM54" s="4" t="str">
        <f t="shared" si="31"/>
        <v/>
      </c>
      <c r="AN54" s="5"/>
      <c r="AP54" s="6" t="str">
        <f t="shared" si="4"/>
        <v/>
      </c>
      <c r="AQ54" s="10" t="str">
        <f t="shared" si="32"/>
        <v/>
      </c>
      <c r="AR54" s="4" t="str">
        <f t="shared" si="48"/>
        <v/>
      </c>
      <c r="AS54" s="4" t="str">
        <f t="shared" si="33"/>
        <v/>
      </c>
      <c r="AT54" s="4" t="str">
        <f t="shared" si="34"/>
        <v/>
      </c>
      <c r="AU54" s="4" t="str">
        <f t="shared" si="35"/>
        <v/>
      </c>
      <c r="AV54" s="4" t="str">
        <f t="shared" si="36"/>
        <v/>
      </c>
      <c r="AW54" s="4" t="str">
        <f t="shared" si="37"/>
        <v/>
      </c>
      <c r="AZ54" s="6" t="str">
        <f t="shared" si="5"/>
        <v/>
      </c>
      <c r="BA54" s="10" t="str">
        <f t="shared" si="6"/>
        <v/>
      </c>
      <c r="BB54" s="4" t="str">
        <f t="shared" si="49"/>
        <v/>
      </c>
      <c r="BC54" s="4" t="str">
        <f t="shared" si="38"/>
        <v/>
      </c>
      <c r="BD54" s="4" t="str">
        <f t="shared" si="39"/>
        <v/>
      </c>
      <c r="BE54" s="4" t="str">
        <f t="shared" si="40"/>
        <v/>
      </c>
      <c r="BF54" s="4" t="str">
        <f t="shared" si="41"/>
        <v/>
      </c>
      <c r="BG54" s="4" t="str">
        <f t="shared" si="42"/>
        <v/>
      </c>
      <c r="BH54" s="5"/>
      <c r="BI54" s="7" t="str">
        <f t="shared" si="60"/>
        <v/>
      </c>
      <c r="BJ54" s="7" t="str">
        <f t="shared" si="7"/>
        <v/>
      </c>
      <c r="BK54" s="7"/>
      <c r="BM54" s="6">
        <v>20</v>
      </c>
      <c r="BN54" s="5" t="str">
        <f t="shared" si="50"/>
        <v/>
      </c>
      <c r="BO54" s="5" t="str">
        <f t="shared" si="51"/>
        <v/>
      </c>
      <c r="BP54" s="5" t="str">
        <f t="shared" si="52"/>
        <v/>
      </c>
      <c r="BQ54" s="5">
        <f t="shared" si="53"/>
        <v>0</v>
      </c>
      <c r="BR54" s="5" t="str">
        <f t="shared" si="54"/>
        <v/>
      </c>
      <c r="CC54" s="6"/>
      <c r="CD54" s="54"/>
      <c r="CE54" s="55"/>
      <c r="CF54" s="55"/>
      <c r="CG54" s="55"/>
      <c r="CH54" s="55"/>
      <c r="CI54" s="55"/>
      <c r="CJ54" s="55"/>
      <c r="DB54" s="4"/>
    </row>
    <row r="55" spans="1:106" x14ac:dyDescent="0.3">
      <c r="A55" s="9">
        <v>20</v>
      </c>
      <c r="B55" s="6" t="str">
        <f t="shared" si="8"/>
        <v/>
      </c>
      <c r="C55" s="46" t="str">
        <f>IF(A55&lt;=$C$19,'Fechas de pago'!B39,"")</f>
        <v/>
      </c>
      <c r="D55" s="4" t="str">
        <f t="shared" si="9"/>
        <v/>
      </c>
      <c r="E55" s="4" t="str">
        <f t="shared" si="10"/>
        <v/>
      </c>
      <c r="F55" s="4" t="str">
        <f t="shared" si="11"/>
        <v/>
      </c>
      <c r="G55" s="4" t="str">
        <f t="shared" si="12"/>
        <v/>
      </c>
      <c r="H55" s="4" t="str">
        <f t="shared" si="13"/>
        <v/>
      </c>
      <c r="I55" s="4" t="str">
        <f t="shared" si="14"/>
        <v/>
      </c>
      <c r="K55" s="5"/>
      <c r="L55" s="6" t="str">
        <f t="shared" si="3"/>
        <v/>
      </c>
      <c r="M55" s="10" t="str">
        <f t="shared" si="15"/>
        <v/>
      </c>
      <c r="N55" s="4" t="str">
        <f t="shared" si="43"/>
        <v/>
      </c>
      <c r="O55" s="4" t="str">
        <f t="shared" si="16"/>
        <v/>
      </c>
      <c r="P55" s="4" t="str">
        <f t="shared" si="17"/>
        <v/>
      </c>
      <c r="Q55" s="4" t="str">
        <f t="shared" si="18"/>
        <v/>
      </c>
      <c r="R55" s="4" t="str">
        <f t="shared" si="19"/>
        <v/>
      </c>
      <c r="S55" s="4" t="str">
        <f t="shared" si="20"/>
        <v/>
      </c>
      <c r="T55" s="5"/>
      <c r="V55" s="6" t="str">
        <f t="shared" si="21"/>
        <v/>
      </c>
      <c r="W55" s="10" t="str">
        <f t="shared" si="44"/>
        <v/>
      </c>
      <c r="X55" s="4" t="str">
        <f t="shared" si="57"/>
        <v/>
      </c>
      <c r="Y55" s="4" t="str">
        <f t="shared" si="22"/>
        <v/>
      </c>
      <c r="Z55" s="4" t="str">
        <f t="shared" si="23"/>
        <v/>
      </c>
      <c r="AA55" s="4">
        <f t="shared" si="58"/>
        <v>0</v>
      </c>
      <c r="AB55" s="4" t="str">
        <f t="shared" si="24"/>
        <v/>
      </c>
      <c r="AC55" s="4" t="str">
        <f t="shared" si="25"/>
        <v/>
      </c>
      <c r="AD55" s="5"/>
      <c r="AF55" s="6" t="str">
        <f t="shared" si="26"/>
        <v/>
      </c>
      <c r="AG55" s="10" t="str">
        <f t="shared" si="46"/>
        <v/>
      </c>
      <c r="AH55" s="4" t="str">
        <f t="shared" si="59"/>
        <v/>
      </c>
      <c r="AI55" s="4" t="str">
        <f t="shared" si="27"/>
        <v/>
      </c>
      <c r="AJ55" s="4" t="str">
        <f t="shared" si="28"/>
        <v/>
      </c>
      <c r="AK55" s="4" t="str">
        <f t="shared" si="29"/>
        <v/>
      </c>
      <c r="AL55" s="4" t="str">
        <f t="shared" si="30"/>
        <v/>
      </c>
      <c r="AM55" s="4" t="str">
        <f t="shared" si="31"/>
        <v/>
      </c>
      <c r="AN55" s="5"/>
      <c r="AP55" s="6" t="str">
        <f t="shared" si="4"/>
        <v/>
      </c>
      <c r="AQ55" s="10" t="str">
        <f t="shared" si="32"/>
        <v/>
      </c>
      <c r="AR55" s="4" t="str">
        <f t="shared" si="48"/>
        <v/>
      </c>
      <c r="AS55" s="4" t="str">
        <f t="shared" si="33"/>
        <v/>
      </c>
      <c r="AT55" s="4" t="str">
        <f t="shared" si="34"/>
        <v/>
      </c>
      <c r="AU55" s="4" t="str">
        <f t="shared" si="35"/>
        <v/>
      </c>
      <c r="AV55" s="4" t="str">
        <f t="shared" si="36"/>
        <v/>
      </c>
      <c r="AW55" s="4" t="str">
        <f t="shared" si="37"/>
        <v/>
      </c>
      <c r="AZ55" s="6" t="str">
        <f t="shared" si="5"/>
        <v/>
      </c>
      <c r="BA55" s="10" t="str">
        <f t="shared" si="6"/>
        <v/>
      </c>
      <c r="BB55" s="4" t="str">
        <f t="shared" si="49"/>
        <v/>
      </c>
      <c r="BC55" s="4" t="str">
        <f t="shared" si="38"/>
        <v/>
      </c>
      <c r="BD55" s="4" t="str">
        <f t="shared" si="39"/>
        <v/>
      </c>
      <c r="BE55" s="4" t="str">
        <f t="shared" si="40"/>
        <v/>
      </c>
      <c r="BF55" s="4" t="str">
        <f t="shared" si="41"/>
        <v/>
      </c>
      <c r="BG55" s="4" t="str">
        <f t="shared" si="42"/>
        <v/>
      </c>
      <c r="BH55" s="5"/>
      <c r="BI55" s="7" t="str">
        <f t="shared" si="60"/>
        <v/>
      </c>
      <c r="BJ55" s="7" t="str">
        <f t="shared" si="7"/>
        <v/>
      </c>
      <c r="BK55" s="7"/>
      <c r="BM55" s="6">
        <v>21</v>
      </c>
      <c r="BN55" s="5" t="str">
        <f t="shared" si="50"/>
        <v/>
      </c>
      <c r="BO55" s="5" t="str">
        <f t="shared" si="51"/>
        <v/>
      </c>
      <c r="BP55" s="5" t="str">
        <f t="shared" si="52"/>
        <v/>
      </c>
      <c r="BQ55" s="5">
        <f t="shared" si="53"/>
        <v>0</v>
      </c>
      <c r="BR55" s="5" t="str">
        <f t="shared" si="54"/>
        <v/>
      </c>
      <c r="CC55" s="6"/>
      <c r="CD55" s="54"/>
      <c r="CE55" s="55"/>
      <c r="CF55" s="55"/>
      <c r="CG55" s="55"/>
      <c r="CH55" s="55"/>
      <c r="CI55" s="55"/>
      <c r="CJ55" s="55"/>
      <c r="DB55" s="4"/>
    </row>
    <row r="56" spans="1:106" x14ac:dyDescent="0.3">
      <c r="A56" s="9">
        <v>21</v>
      </c>
      <c r="B56" s="6" t="str">
        <f t="shared" si="8"/>
        <v/>
      </c>
      <c r="C56" s="46" t="str">
        <f>IF(A56&lt;=$C$19,'Fechas de pago'!B40,"")</f>
        <v/>
      </c>
      <c r="D56" s="4" t="str">
        <f t="shared" si="9"/>
        <v/>
      </c>
      <c r="E56" s="4" t="str">
        <f t="shared" si="10"/>
        <v/>
      </c>
      <c r="F56" s="4" t="str">
        <f t="shared" si="11"/>
        <v/>
      </c>
      <c r="G56" s="4" t="str">
        <f t="shared" si="12"/>
        <v/>
      </c>
      <c r="H56" s="4" t="str">
        <f t="shared" si="13"/>
        <v/>
      </c>
      <c r="I56" s="4" t="str">
        <f t="shared" si="14"/>
        <v/>
      </c>
      <c r="K56" s="5"/>
      <c r="L56" s="6" t="str">
        <f t="shared" si="3"/>
        <v/>
      </c>
      <c r="M56" s="10" t="str">
        <f t="shared" si="15"/>
        <v/>
      </c>
      <c r="N56" s="4" t="str">
        <f t="shared" si="43"/>
        <v/>
      </c>
      <c r="O56" s="4" t="str">
        <f t="shared" si="16"/>
        <v/>
      </c>
      <c r="P56" s="4" t="str">
        <f t="shared" si="17"/>
        <v/>
      </c>
      <c r="Q56" s="4" t="str">
        <f t="shared" si="18"/>
        <v/>
      </c>
      <c r="R56" s="4" t="str">
        <f t="shared" si="19"/>
        <v/>
      </c>
      <c r="S56" s="4" t="str">
        <f t="shared" si="20"/>
        <v/>
      </c>
      <c r="T56" s="5"/>
      <c r="V56" s="6" t="str">
        <f t="shared" si="21"/>
        <v/>
      </c>
      <c r="W56" s="10" t="str">
        <f t="shared" si="44"/>
        <v/>
      </c>
      <c r="X56" s="4" t="str">
        <f t="shared" si="57"/>
        <v/>
      </c>
      <c r="Y56" s="4" t="str">
        <f t="shared" si="22"/>
        <v/>
      </c>
      <c r="Z56" s="4" t="str">
        <f t="shared" si="23"/>
        <v/>
      </c>
      <c r="AA56" s="4">
        <f t="shared" si="58"/>
        <v>0</v>
      </c>
      <c r="AB56" s="4" t="str">
        <f t="shared" si="24"/>
        <v/>
      </c>
      <c r="AC56" s="4" t="str">
        <f t="shared" si="25"/>
        <v/>
      </c>
      <c r="AD56" s="5"/>
      <c r="AF56" s="6" t="str">
        <f t="shared" si="26"/>
        <v/>
      </c>
      <c r="AG56" s="10" t="str">
        <f t="shared" si="46"/>
        <v/>
      </c>
      <c r="AH56" s="4" t="str">
        <f t="shared" si="59"/>
        <v/>
      </c>
      <c r="AI56" s="4" t="str">
        <f t="shared" si="27"/>
        <v/>
      </c>
      <c r="AJ56" s="4" t="str">
        <f t="shared" si="28"/>
        <v/>
      </c>
      <c r="AK56" s="4" t="str">
        <f t="shared" si="29"/>
        <v/>
      </c>
      <c r="AL56" s="4" t="str">
        <f t="shared" si="30"/>
        <v/>
      </c>
      <c r="AM56" s="4" t="str">
        <f t="shared" si="31"/>
        <v/>
      </c>
      <c r="AN56" s="5"/>
      <c r="AP56" s="6" t="str">
        <f t="shared" si="4"/>
        <v/>
      </c>
      <c r="AQ56" s="10" t="str">
        <f t="shared" si="32"/>
        <v/>
      </c>
      <c r="AR56" s="4" t="str">
        <f t="shared" si="48"/>
        <v/>
      </c>
      <c r="AS56" s="4" t="str">
        <f t="shared" si="33"/>
        <v/>
      </c>
      <c r="AT56" s="4" t="str">
        <f t="shared" si="34"/>
        <v/>
      </c>
      <c r="AU56" s="4" t="str">
        <f t="shared" si="35"/>
        <v/>
      </c>
      <c r="AV56" s="4" t="str">
        <f t="shared" si="36"/>
        <v/>
      </c>
      <c r="AW56" s="4" t="str">
        <f t="shared" si="37"/>
        <v/>
      </c>
      <c r="AZ56" s="6" t="str">
        <f t="shared" si="5"/>
        <v/>
      </c>
      <c r="BA56" s="10" t="str">
        <f t="shared" si="6"/>
        <v/>
      </c>
      <c r="BB56" s="4" t="str">
        <f t="shared" si="49"/>
        <v/>
      </c>
      <c r="BC56" s="4" t="str">
        <f t="shared" si="38"/>
        <v/>
      </c>
      <c r="BD56" s="4" t="str">
        <f t="shared" si="39"/>
        <v/>
      </c>
      <c r="BE56" s="4" t="str">
        <f t="shared" si="40"/>
        <v/>
      </c>
      <c r="BF56" s="4" t="str">
        <f t="shared" si="41"/>
        <v/>
      </c>
      <c r="BG56" s="4" t="str">
        <f t="shared" si="42"/>
        <v/>
      </c>
      <c r="BH56" s="5"/>
      <c r="BI56" s="7" t="str">
        <f t="shared" si="60"/>
        <v/>
      </c>
      <c r="BJ56" s="7" t="str">
        <f t="shared" si="7"/>
        <v/>
      </c>
      <c r="BK56" s="7"/>
      <c r="BM56" s="6">
        <v>22</v>
      </c>
      <c r="BN56" s="5" t="str">
        <f t="shared" si="50"/>
        <v/>
      </c>
      <c r="BO56" s="5" t="str">
        <f t="shared" si="51"/>
        <v/>
      </c>
      <c r="BP56" s="5" t="str">
        <f t="shared" si="52"/>
        <v/>
      </c>
      <c r="BQ56" s="5">
        <f t="shared" si="53"/>
        <v>0</v>
      </c>
      <c r="BR56" s="5" t="str">
        <f t="shared" si="54"/>
        <v/>
      </c>
      <c r="CC56" s="6"/>
      <c r="CD56" s="54"/>
      <c r="CE56" s="55"/>
      <c r="CF56" s="55"/>
      <c r="CG56" s="55"/>
      <c r="CH56" s="55"/>
      <c r="CI56" s="55"/>
      <c r="CJ56" s="55"/>
      <c r="DB56" s="4"/>
    </row>
    <row r="57" spans="1:106" x14ac:dyDescent="0.3">
      <c r="A57" s="9">
        <v>22</v>
      </c>
      <c r="B57" s="6" t="str">
        <f t="shared" si="8"/>
        <v/>
      </c>
      <c r="C57" s="46" t="str">
        <f>IF(A57&lt;=$C$19,'Fechas de pago'!B41,"")</f>
        <v/>
      </c>
      <c r="D57" s="4" t="str">
        <f t="shared" si="9"/>
        <v/>
      </c>
      <c r="E57" s="4" t="str">
        <f t="shared" si="10"/>
        <v/>
      </c>
      <c r="F57" s="4" t="str">
        <f t="shared" si="11"/>
        <v/>
      </c>
      <c r="G57" s="4" t="str">
        <f t="shared" si="12"/>
        <v/>
      </c>
      <c r="H57" s="4" t="str">
        <f t="shared" si="13"/>
        <v/>
      </c>
      <c r="I57" s="4" t="str">
        <f t="shared" si="14"/>
        <v/>
      </c>
      <c r="K57" s="5"/>
      <c r="L57" s="6" t="str">
        <f t="shared" si="3"/>
        <v/>
      </c>
      <c r="M57" s="10" t="str">
        <f t="shared" si="15"/>
        <v/>
      </c>
      <c r="N57" s="4" t="str">
        <f t="shared" si="43"/>
        <v/>
      </c>
      <c r="O57" s="4" t="str">
        <f t="shared" si="16"/>
        <v/>
      </c>
      <c r="P57" s="4" t="str">
        <f t="shared" si="17"/>
        <v/>
      </c>
      <c r="Q57" s="4" t="str">
        <f t="shared" si="18"/>
        <v/>
      </c>
      <c r="R57" s="4" t="str">
        <f t="shared" si="19"/>
        <v/>
      </c>
      <c r="S57" s="4" t="str">
        <f t="shared" si="20"/>
        <v/>
      </c>
      <c r="T57" s="5"/>
      <c r="V57" s="6" t="str">
        <f t="shared" si="21"/>
        <v/>
      </c>
      <c r="W57" s="10" t="str">
        <f t="shared" si="44"/>
        <v/>
      </c>
      <c r="X57" s="4" t="str">
        <f t="shared" si="57"/>
        <v/>
      </c>
      <c r="Y57" s="4" t="str">
        <f t="shared" si="22"/>
        <v/>
      </c>
      <c r="Z57" s="4" t="str">
        <f t="shared" si="23"/>
        <v/>
      </c>
      <c r="AA57" s="4">
        <f t="shared" si="58"/>
        <v>0</v>
      </c>
      <c r="AB57" s="4" t="str">
        <f t="shared" si="24"/>
        <v/>
      </c>
      <c r="AC57" s="4" t="str">
        <f t="shared" si="25"/>
        <v/>
      </c>
      <c r="AD57" s="5"/>
      <c r="AF57" s="6" t="str">
        <f t="shared" si="26"/>
        <v/>
      </c>
      <c r="AG57" s="10" t="str">
        <f t="shared" si="46"/>
        <v/>
      </c>
      <c r="AH57" s="4" t="str">
        <f t="shared" si="59"/>
        <v/>
      </c>
      <c r="AI57" s="4" t="str">
        <f t="shared" si="27"/>
        <v/>
      </c>
      <c r="AJ57" s="4" t="str">
        <f t="shared" si="28"/>
        <v/>
      </c>
      <c r="AK57" s="4" t="str">
        <f t="shared" si="29"/>
        <v/>
      </c>
      <c r="AL57" s="4" t="str">
        <f t="shared" si="30"/>
        <v/>
      </c>
      <c r="AM57" s="4" t="str">
        <f t="shared" si="31"/>
        <v/>
      </c>
      <c r="AN57" s="5"/>
      <c r="AP57" s="6" t="str">
        <f t="shared" si="4"/>
        <v/>
      </c>
      <c r="AQ57" s="10" t="str">
        <f t="shared" si="32"/>
        <v/>
      </c>
      <c r="AR57" s="4" t="str">
        <f t="shared" si="48"/>
        <v/>
      </c>
      <c r="AS57" s="4" t="str">
        <f t="shared" si="33"/>
        <v/>
      </c>
      <c r="AT57" s="4" t="str">
        <f t="shared" si="34"/>
        <v/>
      </c>
      <c r="AU57" s="4" t="str">
        <f t="shared" si="35"/>
        <v/>
      </c>
      <c r="AV57" s="4" t="str">
        <f t="shared" si="36"/>
        <v/>
      </c>
      <c r="AW57" s="4" t="str">
        <f t="shared" si="37"/>
        <v/>
      </c>
      <c r="AZ57" s="6" t="str">
        <f t="shared" si="5"/>
        <v/>
      </c>
      <c r="BA57" s="10" t="str">
        <f t="shared" si="6"/>
        <v/>
      </c>
      <c r="BB57" s="4" t="str">
        <f t="shared" si="49"/>
        <v/>
      </c>
      <c r="BC57" s="4" t="str">
        <f t="shared" si="38"/>
        <v/>
      </c>
      <c r="BD57" s="4" t="str">
        <f t="shared" si="39"/>
        <v/>
      </c>
      <c r="BE57" s="4" t="str">
        <f t="shared" si="40"/>
        <v/>
      </c>
      <c r="BF57" s="4" t="str">
        <f t="shared" si="41"/>
        <v/>
      </c>
      <c r="BG57" s="4" t="str">
        <f t="shared" si="42"/>
        <v/>
      </c>
      <c r="BH57" s="5"/>
      <c r="BI57" s="7" t="str">
        <f t="shared" si="60"/>
        <v/>
      </c>
      <c r="BJ57" s="7" t="str">
        <f t="shared" si="7"/>
        <v/>
      </c>
      <c r="BK57" s="7"/>
      <c r="BM57" s="6">
        <v>23</v>
      </c>
      <c r="BN57" s="5" t="str">
        <f t="shared" si="50"/>
        <v/>
      </c>
      <c r="BO57" s="5" t="str">
        <f t="shared" si="51"/>
        <v/>
      </c>
      <c r="BP57" s="5" t="str">
        <f t="shared" si="52"/>
        <v/>
      </c>
      <c r="BQ57" s="5">
        <f t="shared" si="53"/>
        <v>0</v>
      </c>
      <c r="BR57" s="5" t="str">
        <f t="shared" si="54"/>
        <v/>
      </c>
      <c r="CC57" s="6"/>
      <c r="CD57" s="54"/>
      <c r="CE57" s="55"/>
      <c r="CF57" s="55"/>
      <c r="CG57" s="55"/>
      <c r="CH57" s="55"/>
      <c r="CI57" s="55"/>
      <c r="CJ57" s="55"/>
      <c r="DB57" s="4"/>
    </row>
    <row r="58" spans="1:106" x14ac:dyDescent="0.3">
      <c r="A58" s="9">
        <v>23</v>
      </c>
      <c r="B58" s="6" t="str">
        <f t="shared" si="8"/>
        <v/>
      </c>
      <c r="C58" s="46" t="str">
        <f>IF(A58&lt;=$C$19,'Fechas de pago'!B42,"")</f>
        <v/>
      </c>
      <c r="D58" s="4" t="str">
        <f t="shared" si="9"/>
        <v/>
      </c>
      <c r="E58" s="4" t="str">
        <f t="shared" si="10"/>
        <v/>
      </c>
      <c r="F58" s="4" t="str">
        <f t="shared" si="11"/>
        <v/>
      </c>
      <c r="G58" s="4" t="str">
        <f t="shared" si="12"/>
        <v/>
      </c>
      <c r="H58" s="4" t="str">
        <f t="shared" si="13"/>
        <v/>
      </c>
      <c r="I58" s="4" t="str">
        <f t="shared" si="14"/>
        <v/>
      </c>
      <c r="K58" s="5"/>
      <c r="L58" s="6" t="str">
        <f t="shared" si="3"/>
        <v/>
      </c>
      <c r="M58" s="10" t="str">
        <f t="shared" si="15"/>
        <v/>
      </c>
      <c r="N58" s="4" t="str">
        <f t="shared" si="43"/>
        <v/>
      </c>
      <c r="O58" s="4" t="str">
        <f t="shared" si="16"/>
        <v/>
      </c>
      <c r="P58" s="4" t="str">
        <f t="shared" si="17"/>
        <v/>
      </c>
      <c r="Q58" s="4" t="str">
        <f t="shared" si="18"/>
        <v/>
      </c>
      <c r="R58" s="4" t="str">
        <f t="shared" si="19"/>
        <v/>
      </c>
      <c r="S58" s="4" t="str">
        <f t="shared" si="20"/>
        <v/>
      </c>
      <c r="T58" s="5"/>
      <c r="V58" s="6" t="str">
        <f t="shared" si="21"/>
        <v/>
      </c>
      <c r="W58" s="10" t="str">
        <f t="shared" si="44"/>
        <v/>
      </c>
      <c r="X58" s="4" t="str">
        <f t="shared" si="57"/>
        <v/>
      </c>
      <c r="Y58" s="4" t="str">
        <f t="shared" si="22"/>
        <v/>
      </c>
      <c r="Z58" s="4" t="str">
        <f t="shared" si="23"/>
        <v/>
      </c>
      <c r="AA58" s="4">
        <f t="shared" si="58"/>
        <v>0</v>
      </c>
      <c r="AB58" s="4" t="str">
        <f t="shared" si="24"/>
        <v/>
      </c>
      <c r="AC58" s="4" t="str">
        <f t="shared" si="25"/>
        <v/>
      </c>
      <c r="AD58" s="5"/>
      <c r="AF58" s="6" t="str">
        <f t="shared" si="26"/>
        <v/>
      </c>
      <c r="AG58" s="10" t="str">
        <f t="shared" si="46"/>
        <v/>
      </c>
      <c r="AH58" s="4" t="str">
        <f t="shared" si="59"/>
        <v/>
      </c>
      <c r="AI58" s="4" t="str">
        <f t="shared" si="27"/>
        <v/>
      </c>
      <c r="AJ58" s="4" t="str">
        <f t="shared" si="28"/>
        <v/>
      </c>
      <c r="AK58" s="4" t="str">
        <f t="shared" si="29"/>
        <v/>
      </c>
      <c r="AL58" s="4" t="str">
        <f t="shared" si="30"/>
        <v/>
      </c>
      <c r="AM58" s="4" t="str">
        <f t="shared" si="31"/>
        <v/>
      </c>
      <c r="AN58" s="5"/>
      <c r="AP58" s="6" t="str">
        <f t="shared" si="4"/>
        <v/>
      </c>
      <c r="AQ58" s="10" t="str">
        <f t="shared" si="32"/>
        <v/>
      </c>
      <c r="AR58" s="4" t="str">
        <f t="shared" si="48"/>
        <v/>
      </c>
      <c r="AS58" s="4" t="str">
        <f t="shared" si="33"/>
        <v/>
      </c>
      <c r="AT58" s="4" t="str">
        <f t="shared" si="34"/>
        <v/>
      </c>
      <c r="AU58" s="4" t="str">
        <f t="shared" si="35"/>
        <v/>
      </c>
      <c r="AV58" s="4" t="str">
        <f t="shared" si="36"/>
        <v/>
      </c>
      <c r="AW58" s="4" t="str">
        <f t="shared" si="37"/>
        <v/>
      </c>
      <c r="AZ58" s="6" t="str">
        <f t="shared" si="5"/>
        <v/>
      </c>
      <c r="BA58" s="10" t="str">
        <f t="shared" si="6"/>
        <v/>
      </c>
      <c r="BB58" s="4" t="str">
        <f t="shared" si="49"/>
        <v/>
      </c>
      <c r="BC58" s="4" t="str">
        <f t="shared" si="38"/>
        <v/>
      </c>
      <c r="BD58" s="4" t="str">
        <f t="shared" si="39"/>
        <v/>
      </c>
      <c r="BE58" s="4" t="str">
        <f t="shared" si="40"/>
        <v/>
      </c>
      <c r="BF58" s="4" t="str">
        <f t="shared" si="41"/>
        <v/>
      </c>
      <c r="BG58" s="4" t="str">
        <f t="shared" si="42"/>
        <v/>
      </c>
      <c r="BH58" s="5"/>
      <c r="BI58" s="7" t="str">
        <f t="shared" si="60"/>
        <v/>
      </c>
      <c r="BJ58" s="7" t="str">
        <f t="shared" si="7"/>
        <v/>
      </c>
      <c r="BK58" s="7"/>
      <c r="BM58" s="6">
        <v>24</v>
      </c>
      <c r="BN58" s="5" t="str">
        <f t="shared" si="50"/>
        <v/>
      </c>
      <c r="BO58" s="5" t="str">
        <f t="shared" si="51"/>
        <v/>
      </c>
      <c r="BP58" s="5" t="str">
        <f t="shared" si="52"/>
        <v/>
      </c>
      <c r="BQ58" s="5">
        <f t="shared" si="53"/>
        <v>0</v>
      </c>
      <c r="BR58" s="5" t="str">
        <f t="shared" si="54"/>
        <v/>
      </c>
      <c r="CC58" s="6"/>
      <c r="CD58" s="54"/>
      <c r="CE58" s="55"/>
      <c r="CF58" s="55"/>
      <c r="CG58" s="55"/>
      <c r="CH58" s="55"/>
      <c r="CI58" s="55"/>
      <c r="CJ58" s="55"/>
      <c r="DB58" s="4"/>
    </row>
    <row r="59" spans="1:106" x14ac:dyDescent="0.3">
      <c r="A59" s="9">
        <v>24</v>
      </c>
      <c r="B59" s="6" t="str">
        <f t="shared" si="8"/>
        <v/>
      </c>
      <c r="C59" s="46" t="str">
        <f>IF(A59&lt;=$C$19,'Fechas de pago'!B43,"")</f>
        <v/>
      </c>
      <c r="D59" s="4" t="str">
        <f t="shared" si="9"/>
        <v/>
      </c>
      <c r="E59" s="4" t="str">
        <f t="shared" si="10"/>
        <v/>
      </c>
      <c r="F59" s="4" t="str">
        <f t="shared" si="11"/>
        <v/>
      </c>
      <c r="G59" s="4" t="str">
        <f t="shared" si="12"/>
        <v/>
      </c>
      <c r="H59" s="4" t="str">
        <f t="shared" si="13"/>
        <v/>
      </c>
      <c r="I59" s="4" t="str">
        <f t="shared" si="14"/>
        <v/>
      </c>
      <c r="K59" s="5"/>
      <c r="L59" s="6" t="str">
        <f t="shared" si="3"/>
        <v/>
      </c>
      <c r="M59" s="10" t="str">
        <f t="shared" si="15"/>
        <v/>
      </c>
      <c r="N59" s="4" t="str">
        <f t="shared" si="43"/>
        <v/>
      </c>
      <c r="O59" s="4" t="str">
        <f t="shared" si="16"/>
        <v/>
      </c>
      <c r="P59" s="4" t="str">
        <f t="shared" si="17"/>
        <v/>
      </c>
      <c r="Q59" s="4" t="str">
        <f t="shared" si="18"/>
        <v/>
      </c>
      <c r="R59" s="4" t="str">
        <f t="shared" si="19"/>
        <v/>
      </c>
      <c r="S59" s="4" t="str">
        <f t="shared" si="20"/>
        <v/>
      </c>
      <c r="T59" s="5"/>
      <c r="U59" s="5"/>
      <c r="V59" s="6" t="str">
        <f t="shared" si="21"/>
        <v/>
      </c>
      <c r="W59" s="10" t="str">
        <f t="shared" si="44"/>
        <v/>
      </c>
      <c r="X59" s="4" t="str">
        <f t="shared" si="57"/>
        <v/>
      </c>
      <c r="Y59" s="4" t="str">
        <f t="shared" si="22"/>
        <v/>
      </c>
      <c r="Z59" s="4" t="str">
        <f t="shared" si="23"/>
        <v/>
      </c>
      <c r="AA59" s="4">
        <f t="shared" si="58"/>
        <v>0</v>
      </c>
      <c r="AB59" s="4" t="str">
        <f t="shared" si="24"/>
        <v/>
      </c>
      <c r="AC59" s="4" t="str">
        <f t="shared" si="25"/>
        <v/>
      </c>
      <c r="AD59" s="5"/>
      <c r="AF59" s="6" t="str">
        <f t="shared" si="26"/>
        <v/>
      </c>
      <c r="AG59" s="10" t="str">
        <f t="shared" si="46"/>
        <v/>
      </c>
      <c r="AH59" s="4" t="str">
        <f t="shared" si="59"/>
        <v/>
      </c>
      <c r="AI59" s="4" t="str">
        <f t="shared" si="27"/>
        <v/>
      </c>
      <c r="AJ59" s="4" t="str">
        <f t="shared" si="28"/>
        <v/>
      </c>
      <c r="AK59" s="4" t="str">
        <f t="shared" si="29"/>
        <v/>
      </c>
      <c r="AL59" s="4" t="str">
        <f t="shared" si="30"/>
        <v/>
      </c>
      <c r="AM59" s="4" t="str">
        <f t="shared" si="31"/>
        <v/>
      </c>
      <c r="AN59" s="5"/>
      <c r="AP59" s="6" t="str">
        <f t="shared" si="4"/>
        <v/>
      </c>
      <c r="AQ59" s="10" t="str">
        <f t="shared" si="32"/>
        <v/>
      </c>
      <c r="AR59" s="4" t="str">
        <f t="shared" si="48"/>
        <v/>
      </c>
      <c r="AS59" s="4" t="str">
        <f t="shared" si="33"/>
        <v/>
      </c>
      <c r="AT59" s="4" t="str">
        <f t="shared" si="34"/>
        <v/>
      </c>
      <c r="AU59" s="4" t="str">
        <f t="shared" si="35"/>
        <v/>
      </c>
      <c r="AV59" s="4" t="str">
        <f t="shared" si="36"/>
        <v/>
      </c>
      <c r="AW59" s="4" t="str">
        <f t="shared" si="37"/>
        <v/>
      </c>
      <c r="AZ59" s="6" t="str">
        <f t="shared" si="5"/>
        <v/>
      </c>
      <c r="BA59" s="10" t="str">
        <f t="shared" si="6"/>
        <v/>
      </c>
      <c r="BB59" s="4" t="str">
        <f t="shared" si="49"/>
        <v/>
      </c>
      <c r="BC59" s="4" t="str">
        <f t="shared" si="38"/>
        <v/>
      </c>
      <c r="BD59" s="4" t="str">
        <f t="shared" si="39"/>
        <v/>
      </c>
      <c r="BE59" s="4" t="str">
        <f t="shared" si="40"/>
        <v/>
      </c>
      <c r="BF59" s="4" t="str">
        <f t="shared" si="41"/>
        <v/>
      </c>
      <c r="BG59" s="4" t="str">
        <f t="shared" si="42"/>
        <v/>
      </c>
      <c r="BH59" s="5"/>
      <c r="BI59" s="7" t="str">
        <f t="shared" si="60"/>
        <v/>
      </c>
      <c r="BJ59" s="7" t="str">
        <f t="shared" si="7"/>
        <v/>
      </c>
      <c r="BK59" s="7"/>
      <c r="BM59" s="6">
        <v>25</v>
      </c>
      <c r="BN59" s="5" t="str">
        <f t="shared" si="50"/>
        <v/>
      </c>
      <c r="BO59" s="5" t="str">
        <f t="shared" si="51"/>
        <v/>
      </c>
      <c r="BP59" s="5" t="str">
        <f t="shared" si="52"/>
        <v/>
      </c>
      <c r="BQ59" s="5">
        <f t="shared" si="53"/>
        <v>0</v>
      </c>
      <c r="BR59" s="5" t="str">
        <f t="shared" si="54"/>
        <v/>
      </c>
      <c r="BT59" s="7"/>
      <c r="CC59" s="6"/>
      <c r="CD59" s="54"/>
      <c r="CE59" s="55"/>
      <c r="CF59" s="55"/>
      <c r="CG59" s="55"/>
      <c r="CH59" s="55"/>
      <c r="CI59" s="55"/>
      <c r="CJ59" s="55"/>
      <c r="DB59" s="4"/>
    </row>
    <row r="60" spans="1:106" x14ac:dyDescent="0.3">
      <c r="A60" s="9">
        <v>25</v>
      </c>
      <c r="B60" s="118" t="str">
        <f t="shared" si="8"/>
        <v/>
      </c>
      <c r="C60" s="119" t="str">
        <f>IF(A60&lt;=$C$19,'Fechas de pago'!B44,"")</f>
        <v/>
      </c>
      <c r="D60" s="45" t="str">
        <f t="shared" si="9"/>
        <v/>
      </c>
      <c r="E60" s="45" t="str">
        <f t="shared" si="10"/>
        <v/>
      </c>
      <c r="F60" s="45" t="str">
        <f t="shared" si="11"/>
        <v/>
      </c>
      <c r="G60" s="45" t="str">
        <f t="shared" si="12"/>
        <v/>
      </c>
      <c r="H60" s="45" t="str">
        <f t="shared" si="13"/>
        <v/>
      </c>
      <c r="I60" s="45" t="str">
        <f t="shared" si="14"/>
        <v/>
      </c>
      <c r="K60" s="5"/>
      <c r="L60" s="118" t="str">
        <f t="shared" si="3"/>
        <v/>
      </c>
      <c r="M60" s="121" t="str">
        <f t="shared" si="15"/>
        <v/>
      </c>
      <c r="N60" s="45" t="str">
        <f t="shared" si="43"/>
        <v/>
      </c>
      <c r="O60" s="45" t="str">
        <f t="shared" si="16"/>
        <v/>
      </c>
      <c r="P60" s="45" t="str">
        <f t="shared" si="17"/>
        <v/>
      </c>
      <c r="Q60" s="45" t="str">
        <f t="shared" si="18"/>
        <v/>
      </c>
      <c r="R60" s="45" t="str">
        <f t="shared" si="19"/>
        <v/>
      </c>
      <c r="S60" s="45" t="str">
        <f t="shared" si="20"/>
        <v/>
      </c>
      <c r="T60" s="5"/>
      <c r="V60" s="118" t="str">
        <f t="shared" si="21"/>
        <v/>
      </c>
      <c r="W60" s="121" t="str">
        <f t="shared" si="44"/>
        <v/>
      </c>
      <c r="X60" s="45" t="str">
        <f>IF(V60&gt;$C$19,"",IF(AND($C$10="Multianual Fraccionado",$C$9="Contado"),$C$13,IF(AND($C$10="Multianual Fraccionado",$C$9="Financiado"),$C$12,IF(AND($C$9="financiado",$C$10="Multianual Financiado"),X59-Y59,IF(OR($C$9="Externo",AND($C$9="financiado",$C$10="anual")),0,IF(AND($C$10="Multianual Financiado",$C$9="Contado"),0,IF(AND($C$9="CONTADO",$C$10="M13"),$C$13,0)))))))</f>
        <v/>
      </c>
      <c r="Y60" s="45" t="str">
        <f t="shared" si="22"/>
        <v/>
      </c>
      <c r="Z60" s="45" t="str">
        <f t="shared" si="23"/>
        <v/>
      </c>
      <c r="AA60" s="45">
        <f>IF(AND($C$9="financiado",$C$10="multianual financiado",V60&lt;=$C$19),-PMT($C$20/12,$C$19,$C$11),IF(AND($C$9="financiado",$C$10="anual"),0,IF(OR($C$9="promocional",$C$9="gratis",$C$9="Externo"),0,IF(AND(OR($C$10="Multianual Fraccionado",$C$10="M13"),$C$9="Contado",V60&lt;=$C$19),-PMT($C$20/12,W$29,$C$13),IF(AND($C$10="Multianual Fraccionado",$C$9="Financiado",V60&lt;=$C$19),-PMT($C$20/12,W$29,$C$12),0)))))</f>
        <v>0</v>
      </c>
      <c r="AB60" s="45" t="str">
        <f t="shared" si="24"/>
        <v/>
      </c>
      <c r="AC60" s="45" t="str">
        <f t="shared" si="25"/>
        <v/>
      </c>
      <c r="AD60" s="5"/>
      <c r="AF60" s="118" t="str">
        <f t="shared" si="26"/>
        <v/>
      </c>
      <c r="AG60" s="121" t="str">
        <f t="shared" si="46"/>
        <v/>
      </c>
      <c r="AH60" s="45" t="str">
        <f>IF(A60&lt;=$C$19,AH36,"")</f>
        <v/>
      </c>
      <c r="AI60" s="45" t="str">
        <f t="shared" si="27"/>
        <v/>
      </c>
      <c r="AJ60" s="45" t="str">
        <f t="shared" si="28"/>
        <v/>
      </c>
      <c r="AK60" s="45" t="str">
        <f t="shared" si="29"/>
        <v/>
      </c>
      <c r="AL60" s="45" t="str">
        <f t="shared" si="30"/>
        <v/>
      </c>
      <c r="AM60" s="45" t="str">
        <f t="shared" si="31"/>
        <v/>
      </c>
      <c r="AN60" s="5"/>
      <c r="AP60" s="118" t="str">
        <f t="shared" si="4"/>
        <v/>
      </c>
      <c r="AQ60" s="121" t="str">
        <f t="shared" si="32"/>
        <v/>
      </c>
      <c r="AR60" s="45" t="str">
        <f t="shared" si="48"/>
        <v/>
      </c>
      <c r="AS60" s="45" t="str">
        <f t="shared" si="33"/>
        <v/>
      </c>
      <c r="AT60" s="45" t="str">
        <f t="shared" si="34"/>
        <v/>
      </c>
      <c r="AU60" s="45" t="str">
        <f t="shared" si="35"/>
        <v/>
      </c>
      <c r="AV60" s="45" t="str">
        <f t="shared" si="36"/>
        <v/>
      </c>
      <c r="AW60" s="45" t="str">
        <f t="shared" si="37"/>
        <v/>
      </c>
      <c r="AZ60" s="118" t="str">
        <f t="shared" si="5"/>
        <v/>
      </c>
      <c r="BA60" s="121" t="str">
        <f t="shared" si="6"/>
        <v/>
      </c>
      <c r="BB60" s="45" t="str">
        <f t="shared" si="49"/>
        <v/>
      </c>
      <c r="BC60" s="45" t="str">
        <f t="shared" si="38"/>
        <v/>
      </c>
      <c r="BD60" s="45" t="str">
        <f t="shared" si="39"/>
        <v/>
      </c>
      <c r="BE60" s="45" t="str">
        <f t="shared" si="40"/>
        <v/>
      </c>
      <c r="BF60" s="45" t="str">
        <f t="shared" si="41"/>
        <v/>
      </c>
      <c r="BG60" s="45" t="str">
        <f t="shared" si="42"/>
        <v/>
      </c>
      <c r="BH60" s="5"/>
      <c r="BI60" s="122" t="str">
        <f>IF(SUM(BN60:BT60)&gt;0,SUM(BN60:BT60),"")</f>
        <v/>
      </c>
      <c r="BJ60" s="122" t="str">
        <f t="shared" si="7"/>
        <v/>
      </c>
      <c r="BK60" s="7"/>
      <c r="BM60" s="118">
        <v>26</v>
      </c>
      <c r="BN60" s="120" t="str">
        <f t="shared" si="50"/>
        <v/>
      </c>
      <c r="BO60" s="120" t="str">
        <f t="shared" si="51"/>
        <v/>
      </c>
      <c r="BP60" s="120" t="str">
        <f t="shared" si="52"/>
        <v/>
      </c>
      <c r="BQ60" s="120">
        <f t="shared" si="53"/>
        <v>0</v>
      </c>
      <c r="BR60" s="120" t="str">
        <f t="shared" si="54"/>
        <v/>
      </c>
      <c r="BS60" s="45"/>
      <c r="BT60" s="120">
        <f>IF(AND($C$9="Externo",BM60&lt;=$C$19),$D$11,0)</f>
        <v>0</v>
      </c>
      <c r="CC60" s="6"/>
      <c r="CD60" s="54"/>
      <c r="CE60" s="55"/>
      <c r="CF60" s="55"/>
      <c r="CG60" s="55"/>
      <c r="CH60" s="55"/>
      <c r="CI60" s="55"/>
      <c r="CJ60" s="55"/>
      <c r="DB60" s="4"/>
    </row>
    <row r="61" spans="1:106" x14ac:dyDescent="0.3">
      <c r="A61" s="9">
        <v>26</v>
      </c>
      <c r="B61" s="6" t="str">
        <f t="shared" si="8"/>
        <v/>
      </c>
      <c r="C61" s="46" t="str">
        <f>IF(A61&lt;=$C$19,'Fechas de pago'!B45,"")</f>
        <v/>
      </c>
      <c r="D61" s="4" t="str">
        <f t="shared" si="9"/>
        <v/>
      </c>
      <c r="E61" s="4" t="str">
        <f t="shared" si="10"/>
        <v/>
      </c>
      <c r="F61" s="4" t="str">
        <f t="shared" si="11"/>
        <v/>
      </c>
      <c r="G61" s="4" t="str">
        <f t="shared" si="12"/>
        <v/>
      </c>
      <c r="H61" s="4" t="str">
        <f t="shared" si="13"/>
        <v/>
      </c>
      <c r="I61" s="4" t="str">
        <f t="shared" si="14"/>
        <v/>
      </c>
      <c r="K61" s="5"/>
      <c r="L61" s="6" t="str">
        <f t="shared" si="3"/>
        <v/>
      </c>
      <c r="M61" s="10" t="str">
        <f t="shared" si="15"/>
        <v/>
      </c>
      <c r="N61" s="4" t="str">
        <f t="shared" si="43"/>
        <v/>
      </c>
      <c r="O61" s="4" t="str">
        <f t="shared" si="16"/>
        <v/>
      </c>
      <c r="P61" s="4" t="str">
        <f t="shared" si="17"/>
        <v/>
      </c>
      <c r="Q61" s="4" t="str">
        <f t="shared" si="18"/>
        <v/>
      </c>
      <c r="R61" s="4" t="str">
        <f t="shared" si="19"/>
        <v/>
      </c>
      <c r="S61" s="4" t="str">
        <f t="shared" si="20"/>
        <v/>
      </c>
      <c r="T61" s="5"/>
      <c r="V61" s="6" t="str">
        <f t="shared" si="21"/>
        <v/>
      </c>
      <c r="W61" s="10" t="str">
        <f t="shared" si="44"/>
        <v/>
      </c>
      <c r="X61" s="4" t="str">
        <f t="shared" ref="X61:X71" si="61">IF(A61&lt;=$C$19,X60-Y60,"")</f>
        <v/>
      </c>
      <c r="Y61" s="4" t="str">
        <f t="shared" si="22"/>
        <v/>
      </c>
      <c r="Z61" s="4" t="str">
        <f t="shared" si="23"/>
        <v/>
      </c>
      <c r="AA61" s="4">
        <f t="shared" ref="AA61:AA71" si="62">IF(AND($C$9="financiado",$C$10="multianual financiado",V61&lt;=$C$19),-PMT($C$20/12,$C$19,$C$11),IF(AND($C$9="financiado",$C$10="anual"),0,IF(OR($C$9="promocional",$C$9="gratis",$C$9="Externo"),0,IF(AND(OR($C$10="Multianual Fraccionado",$C$10="M13"),$C$9="Contado",V61&lt;=$C$19),-PMT($C$20/12,W$29,$C$13),IF(AND($C$10="Multianual Fraccionado",$C$9="Financiado",V61&lt;=$C$19),-PMT($C$20/12,W$29,$C$12),0)))))</f>
        <v>0</v>
      </c>
      <c r="AB61" s="4" t="str">
        <f t="shared" si="24"/>
        <v/>
      </c>
      <c r="AC61" s="4" t="str">
        <f t="shared" si="25"/>
        <v/>
      </c>
      <c r="AD61" s="5"/>
      <c r="AF61" s="6" t="str">
        <f t="shared" si="26"/>
        <v/>
      </c>
      <c r="AG61" s="10" t="str">
        <f t="shared" si="46"/>
        <v/>
      </c>
      <c r="AH61" s="4" t="str">
        <f t="shared" ref="AH61:AH71" si="63">IF(A61&lt;=$C$19,AH60-AI60,"")</f>
        <v/>
      </c>
      <c r="AI61" s="4" t="str">
        <f t="shared" si="27"/>
        <v/>
      </c>
      <c r="AJ61" s="4" t="str">
        <f t="shared" si="28"/>
        <v/>
      </c>
      <c r="AK61" s="4" t="str">
        <f t="shared" si="29"/>
        <v/>
      </c>
      <c r="AL61" s="4" t="str">
        <f t="shared" si="30"/>
        <v/>
      </c>
      <c r="AM61" s="4" t="str">
        <f t="shared" si="31"/>
        <v/>
      </c>
      <c r="AN61" s="5"/>
      <c r="AP61" s="6" t="str">
        <f t="shared" si="4"/>
        <v/>
      </c>
      <c r="AQ61" s="10" t="str">
        <f t="shared" si="32"/>
        <v/>
      </c>
      <c r="AR61" s="4" t="str">
        <f t="shared" si="48"/>
        <v/>
      </c>
      <c r="AS61" s="4" t="str">
        <f t="shared" si="33"/>
        <v/>
      </c>
      <c r="AT61" s="4" t="str">
        <f t="shared" si="34"/>
        <v/>
      </c>
      <c r="AU61" s="4" t="str">
        <f t="shared" si="35"/>
        <v/>
      </c>
      <c r="AV61" s="4" t="str">
        <f t="shared" si="36"/>
        <v/>
      </c>
      <c r="AW61" s="4" t="str">
        <f t="shared" si="37"/>
        <v/>
      </c>
      <c r="AZ61" s="6" t="str">
        <f t="shared" si="5"/>
        <v/>
      </c>
      <c r="BA61" s="10" t="str">
        <f t="shared" si="6"/>
        <v/>
      </c>
      <c r="BB61" s="4" t="str">
        <f t="shared" si="49"/>
        <v/>
      </c>
      <c r="BC61" s="4" t="str">
        <f t="shared" si="38"/>
        <v/>
      </c>
      <c r="BD61" s="4" t="str">
        <f t="shared" si="39"/>
        <v/>
      </c>
      <c r="BE61" s="4" t="str">
        <f t="shared" si="40"/>
        <v/>
      </c>
      <c r="BF61" s="4" t="str">
        <f t="shared" si="41"/>
        <v/>
      </c>
      <c r="BG61" s="4" t="str">
        <f t="shared" si="42"/>
        <v/>
      </c>
      <c r="BH61" s="5"/>
      <c r="BI61" s="7" t="str">
        <f t="shared" si="60"/>
        <v/>
      </c>
      <c r="BJ61" s="7" t="str">
        <f t="shared" si="7"/>
        <v/>
      </c>
      <c r="BK61" s="7"/>
      <c r="BM61" s="6">
        <v>27</v>
      </c>
      <c r="BN61" s="5" t="str">
        <f t="shared" si="50"/>
        <v/>
      </c>
      <c r="BO61" s="5" t="str">
        <f t="shared" si="51"/>
        <v/>
      </c>
      <c r="BP61" s="5" t="str">
        <f t="shared" si="52"/>
        <v/>
      </c>
      <c r="BQ61" s="5">
        <f t="shared" si="53"/>
        <v>0</v>
      </c>
      <c r="BR61" s="5" t="str">
        <f t="shared" si="54"/>
        <v/>
      </c>
      <c r="CC61" s="6"/>
      <c r="CD61" s="54"/>
      <c r="CE61" s="55"/>
      <c r="CF61" s="55"/>
      <c r="CG61" s="55"/>
      <c r="CH61" s="55"/>
      <c r="CI61" s="55"/>
      <c r="CJ61" s="55"/>
      <c r="DB61" s="4"/>
    </row>
    <row r="62" spans="1:106" x14ac:dyDescent="0.3">
      <c r="A62" s="9">
        <v>27</v>
      </c>
      <c r="B62" s="6" t="str">
        <f t="shared" si="8"/>
        <v/>
      </c>
      <c r="C62" s="46" t="str">
        <f>IF(A62&lt;=$C$19,'Fechas de pago'!B46,"")</f>
        <v/>
      </c>
      <c r="D62" s="4" t="str">
        <f t="shared" si="9"/>
        <v/>
      </c>
      <c r="E62" s="4" t="str">
        <f t="shared" si="10"/>
        <v/>
      </c>
      <c r="F62" s="4" t="str">
        <f t="shared" si="11"/>
        <v/>
      </c>
      <c r="G62" s="4" t="str">
        <f t="shared" si="12"/>
        <v/>
      </c>
      <c r="H62" s="4" t="str">
        <f t="shared" si="13"/>
        <v/>
      </c>
      <c r="I62" s="4" t="str">
        <f t="shared" si="14"/>
        <v/>
      </c>
      <c r="K62" s="5"/>
      <c r="L62" s="6" t="str">
        <f t="shared" si="3"/>
        <v/>
      </c>
      <c r="M62" s="10" t="str">
        <f t="shared" si="15"/>
        <v/>
      </c>
      <c r="N62" s="4" t="str">
        <f t="shared" si="43"/>
        <v/>
      </c>
      <c r="O62" s="4" t="str">
        <f t="shared" si="16"/>
        <v/>
      </c>
      <c r="P62" s="4" t="str">
        <f t="shared" si="17"/>
        <v/>
      </c>
      <c r="Q62" s="4" t="str">
        <f t="shared" si="18"/>
        <v/>
      </c>
      <c r="R62" s="4" t="str">
        <f t="shared" si="19"/>
        <v/>
      </c>
      <c r="S62" s="4" t="str">
        <f t="shared" si="20"/>
        <v/>
      </c>
      <c r="T62" s="5"/>
      <c r="V62" s="6" t="str">
        <f t="shared" si="21"/>
        <v/>
      </c>
      <c r="W62" s="10" t="str">
        <f t="shared" si="44"/>
        <v/>
      </c>
      <c r="X62" s="4" t="str">
        <f t="shared" si="61"/>
        <v/>
      </c>
      <c r="Y62" s="4" t="str">
        <f t="shared" si="22"/>
        <v/>
      </c>
      <c r="Z62" s="4" t="str">
        <f t="shared" si="23"/>
        <v/>
      </c>
      <c r="AA62" s="4">
        <f t="shared" si="62"/>
        <v>0</v>
      </c>
      <c r="AB62" s="4" t="str">
        <f t="shared" si="24"/>
        <v/>
      </c>
      <c r="AC62" s="4" t="str">
        <f t="shared" si="25"/>
        <v/>
      </c>
      <c r="AD62" s="5"/>
      <c r="AF62" s="6" t="str">
        <f t="shared" si="26"/>
        <v/>
      </c>
      <c r="AG62" s="10" t="str">
        <f t="shared" si="46"/>
        <v/>
      </c>
      <c r="AH62" s="4" t="str">
        <f t="shared" si="63"/>
        <v/>
      </c>
      <c r="AI62" s="4" t="str">
        <f t="shared" si="27"/>
        <v/>
      </c>
      <c r="AJ62" s="4" t="str">
        <f t="shared" si="28"/>
        <v/>
      </c>
      <c r="AK62" s="4" t="str">
        <f t="shared" si="29"/>
        <v/>
      </c>
      <c r="AL62" s="4" t="str">
        <f t="shared" si="30"/>
        <v/>
      </c>
      <c r="AM62" s="4" t="str">
        <f t="shared" si="31"/>
        <v/>
      </c>
      <c r="AN62" s="5"/>
      <c r="AP62" s="6" t="str">
        <f t="shared" si="4"/>
        <v/>
      </c>
      <c r="AQ62" s="10" t="str">
        <f t="shared" si="32"/>
        <v/>
      </c>
      <c r="AR62" s="4" t="str">
        <f t="shared" si="48"/>
        <v/>
      </c>
      <c r="AS62" s="4" t="str">
        <f t="shared" si="33"/>
        <v/>
      </c>
      <c r="AT62" s="4" t="str">
        <f t="shared" si="34"/>
        <v/>
      </c>
      <c r="AU62" s="4" t="str">
        <f t="shared" si="35"/>
        <v/>
      </c>
      <c r="AV62" s="4" t="str">
        <f t="shared" si="36"/>
        <v/>
      </c>
      <c r="AW62" s="4" t="str">
        <f t="shared" si="37"/>
        <v/>
      </c>
      <c r="AZ62" s="6" t="str">
        <f t="shared" si="5"/>
        <v/>
      </c>
      <c r="BA62" s="10" t="str">
        <f t="shared" si="6"/>
        <v/>
      </c>
      <c r="BB62" s="4" t="str">
        <f t="shared" si="49"/>
        <v/>
      </c>
      <c r="BC62" s="4" t="str">
        <f t="shared" si="38"/>
        <v/>
      </c>
      <c r="BD62" s="4" t="str">
        <f t="shared" si="39"/>
        <v/>
      </c>
      <c r="BE62" s="4" t="str">
        <f t="shared" si="40"/>
        <v/>
      </c>
      <c r="BF62" s="4" t="str">
        <f t="shared" si="41"/>
        <v/>
      </c>
      <c r="BG62" s="4" t="str">
        <f t="shared" si="42"/>
        <v/>
      </c>
      <c r="BH62" s="5"/>
      <c r="BI62" s="7" t="str">
        <f t="shared" si="60"/>
        <v/>
      </c>
      <c r="BJ62" s="7" t="str">
        <f t="shared" si="7"/>
        <v/>
      </c>
      <c r="BK62" s="7"/>
      <c r="BM62" s="6">
        <v>28</v>
      </c>
      <c r="BN62" s="5" t="str">
        <f t="shared" si="50"/>
        <v/>
      </c>
      <c r="BO62" s="5" t="str">
        <f t="shared" si="51"/>
        <v/>
      </c>
      <c r="BP62" s="5" t="str">
        <f t="shared" si="52"/>
        <v/>
      </c>
      <c r="BQ62" s="5">
        <f t="shared" si="53"/>
        <v>0</v>
      </c>
      <c r="BR62" s="5" t="str">
        <f t="shared" si="54"/>
        <v/>
      </c>
      <c r="CC62" s="6"/>
      <c r="CD62" s="54"/>
      <c r="CE62" s="55"/>
      <c r="CF62" s="55"/>
      <c r="CG62" s="55"/>
      <c r="CH62" s="55"/>
      <c r="CI62" s="55"/>
      <c r="CJ62" s="55"/>
      <c r="DB62" s="4"/>
    </row>
    <row r="63" spans="1:106" x14ac:dyDescent="0.3">
      <c r="A63" s="9">
        <v>28</v>
      </c>
      <c r="B63" s="6" t="str">
        <f t="shared" si="8"/>
        <v/>
      </c>
      <c r="C63" s="46" t="str">
        <f>IF(A63&lt;=$C$19,'Fechas de pago'!B47,"")</f>
        <v/>
      </c>
      <c r="D63" s="4" t="str">
        <f t="shared" si="9"/>
        <v/>
      </c>
      <c r="E63" s="4" t="str">
        <f t="shared" si="10"/>
        <v/>
      </c>
      <c r="F63" s="4" t="str">
        <f t="shared" si="11"/>
        <v/>
      </c>
      <c r="G63" s="4" t="str">
        <f t="shared" si="12"/>
        <v/>
      </c>
      <c r="H63" s="4" t="str">
        <f t="shared" si="13"/>
        <v/>
      </c>
      <c r="I63" s="4" t="str">
        <f t="shared" si="14"/>
        <v/>
      </c>
      <c r="K63" s="5"/>
      <c r="L63" s="6" t="str">
        <f t="shared" si="3"/>
        <v/>
      </c>
      <c r="M63" s="10" t="str">
        <f t="shared" si="15"/>
        <v/>
      </c>
      <c r="N63" s="4" t="str">
        <f t="shared" si="43"/>
        <v/>
      </c>
      <c r="O63" s="4" t="str">
        <f t="shared" si="16"/>
        <v/>
      </c>
      <c r="P63" s="4" t="str">
        <f t="shared" si="17"/>
        <v/>
      </c>
      <c r="Q63" s="4" t="str">
        <f t="shared" si="18"/>
        <v/>
      </c>
      <c r="R63" s="4" t="str">
        <f t="shared" si="19"/>
        <v/>
      </c>
      <c r="S63" s="4" t="str">
        <f t="shared" si="20"/>
        <v/>
      </c>
      <c r="T63" s="5"/>
      <c r="V63" s="6" t="str">
        <f t="shared" si="21"/>
        <v/>
      </c>
      <c r="W63" s="10" t="str">
        <f t="shared" si="44"/>
        <v/>
      </c>
      <c r="X63" s="4" t="str">
        <f t="shared" si="61"/>
        <v/>
      </c>
      <c r="Y63" s="4" t="str">
        <f t="shared" si="22"/>
        <v/>
      </c>
      <c r="Z63" s="4" t="str">
        <f t="shared" si="23"/>
        <v/>
      </c>
      <c r="AA63" s="4">
        <f t="shared" si="62"/>
        <v>0</v>
      </c>
      <c r="AB63" s="4" t="str">
        <f t="shared" si="24"/>
        <v/>
      </c>
      <c r="AC63" s="4" t="str">
        <f t="shared" si="25"/>
        <v/>
      </c>
      <c r="AD63" s="5"/>
      <c r="AF63" s="6" t="str">
        <f t="shared" si="26"/>
        <v/>
      </c>
      <c r="AG63" s="10" t="str">
        <f t="shared" si="46"/>
        <v/>
      </c>
      <c r="AH63" s="4" t="str">
        <f t="shared" si="63"/>
        <v/>
      </c>
      <c r="AI63" s="4" t="str">
        <f t="shared" si="27"/>
        <v/>
      </c>
      <c r="AJ63" s="4" t="str">
        <f t="shared" si="28"/>
        <v/>
      </c>
      <c r="AK63" s="4" t="str">
        <f t="shared" si="29"/>
        <v/>
      </c>
      <c r="AL63" s="4" t="str">
        <f t="shared" si="30"/>
        <v/>
      </c>
      <c r="AM63" s="4" t="str">
        <f t="shared" si="31"/>
        <v/>
      </c>
      <c r="AN63" s="5"/>
      <c r="AP63" s="6" t="str">
        <f t="shared" si="4"/>
        <v/>
      </c>
      <c r="AQ63" s="10" t="str">
        <f t="shared" si="32"/>
        <v/>
      </c>
      <c r="AR63" s="4" t="str">
        <f t="shared" si="48"/>
        <v/>
      </c>
      <c r="AS63" s="4" t="str">
        <f t="shared" si="33"/>
        <v/>
      </c>
      <c r="AT63" s="4" t="str">
        <f t="shared" si="34"/>
        <v/>
      </c>
      <c r="AU63" s="4" t="str">
        <f t="shared" si="35"/>
        <v/>
      </c>
      <c r="AV63" s="4" t="str">
        <f t="shared" si="36"/>
        <v/>
      </c>
      <c r="AW63" s="4" t="str">
        <f t="shared" si="37"/>
        <v/>
      </c>
      <c r="AZ63" s="6" t="str">
        <f t="shared" si="5"/>
        <v/>
      </c>
      <c r="BA63" s="10" t="str">
        <f t="shared" si="6"/>
        <v/>
      </c>
      <c r="BB63" s="4" t="str">
        <f t="shared" si="49"/>
        <v/>
      </c>
      <c r="BC63" s="4" t="str">
        <f t="shared" si="38"/>
        <v/>
      </c>
      <c r="BD63" s="4" t="str">
        <f t="shared" si="39"/>
        <v/>
      </c>
      <c r="BE63" s="4" t="str">
        <f t="shared" si="40"/>
        <v/>
      </c>
      <c r="BF63" s="4" t="str">
        <f t="shared" si="41"/>
        <v/>
      </c>
      <c r="BG63" s="4" t="str">
        <f t="shared" si="42"/>
        <v/>
      </c>
      <c r="BH63" s="5"/>
      <c r="BI63" s="7" t="str">
        <f t="shared" si="60"/>
        <v/>
      </c>
      <c r="BJ63" s="7" t="str">
        <f t="shared" si="7"/>
        <v/>
      </c>
      <c r="BK63" s="7"/>
      <c r="BM63" s="6">
        <v>29</v>
      </c>
      <c r="BN63" s="5" t="str">
        <f t="shared" si="50"/>
        <v/>
      </c>
      <c r="BO63" s="5" t="str">
        <f t="shared" si="51"/>
        <v/>
      </c>
      <c r="BP63" s="5" t="str">
        <f t="shared" si="52"/>
        <v/>
      </c>
      <c r="BQ63" s="5">
        <f t="shared" si="53"/>
        <v>0</v>
      </c>
      <c r="BR63" s="5" t="str">
        <f t="shared" si="54"/>
        <v/>
      </c>
      <c r="CC63" s="6"/>
      <c r="CD63" s="54"/>
      <c r="CE63" s="55"/>
      <c r="CF63" s="55"/>
      <c r="CG63" s="55"/>
      <c r="CH63" s="55"/>
      <c r="CI63" s="55"/>
      <c r="CJ63" s="55"/>
      <c r="DB63" s="4"/>
    </row>
    <row r="64" spans="1:106" x14ac:dyDescent="0.3">
      <c r="A64" s="9">
        <v>29</v>
      </c>
      <c r="B64" s="6" t="str">
        <f t="shared" si="8"/>
        <v/>
      </c>
      <c r="C64" s="46" t="str">
        <f>IF(A64&lt;=$C$19,'Fechas de pago'!B48,"")</f>
        <v/>
      </c>
      <c r="D64" s="4" t="str">
        <f t="shared" si="9"/>
        <v/>
      </c>
      <c r="E64" s="4" t="str">
        <f t="shared" si="10"/>
        <v/>
      </c>
      <c r="F64" s="4" t="str">
        <f t="shared" si="11"/>
        <v/>
      </c>
      <c r="G64" s="4" t="str">
        <f t="shared" si="12"/>
        <v/>
      </c>
      <c r="H64" s="4" t="str">
        <f t="shared" si="13"/>
        <v/>
      </c>
      <c r="I64" s="4" t="str">
        <f t="shared" si="14"/>
        <v/>
      </c>
      <c r="K64" s="5"/>
      <c r="L64" s="6" t="str">
        <f t="shared" si="3"/>
        <v/>
      </c>
      <c r="M64" s="10" t="str">
        <f t="shared" si="15"/>
        <v/>
      </c>
      <c r="N64" s="4" t="str">
        <f t="shared" si="43"/>
        <v/>
      </c>
      <c r="O64" s="4" t="str">
        <f t="shared" si="16"/>
        <v/>
      </c>
      <c r="P64" s="4" t="str">
        <f t="shared" si="17"/>
        <v/>
      </c>
      <c r="Q64" s="4" t="str">
        <f t="shared" si="18"/>
        <v/>
      </c>
      <c r="R64" s="4" t="str">
        <f t="shared" si="19"/>
        <v/>
      </c>
      <c r="S64" s="4" t="str">
        <f t="shared" si="20"/>
        <v/>
      </c>
      <c r="T64" s="5"/>
      <c r="V64" s="6" t="str">
        <f t="shared" si="21"/>
        <v/>
      </c>
      <c r="W64" s="10" t="str">
        <f t="shared" si="44"/>
        <v/>
      </c>
      <c r="X64" s="4" t="str">
        <f t="shared" si="61"/>
        <v/>
      </c>
      <c r="Y64" s="4" t="str">
        <f t="shared" si="22"/>
        <v/>
      </c>
      <c r="Z64" s="4" t="str">
        <f t="shared" si="23"/>
        <v/>
      </c>
      <c r="AA64" s="4">
        <f t="shared" si="62"/>
        <v>0</v>
      </c>
      <c r="AB64" s="4" t="str">
        <f t="shared" si="24"/>
        <v/>
      </c>
      <c r="AC64" s="4" t="str">
        <f t="shared" si="25"/>
        <v/>
      </c>
      <c r="AD64" s="5"/>
      <c r="AF64" s="6" t="str">
        <f t="shared" si="26"/>
        <v/>
      </c>
      <c r="AG64" s="10" t="str">
        <f t="shared" si="46"/>
        <v/>
      </c>
      <c r="AH64" s="4" t="str">
        <f t="shared" si="63"/>
        <v/>
      </c>
      <c r="AI64" s="4" t="str">
        <f t="shared" si="27"/>
        <v/>
      </c>
      <c r="AJ64" s="4" t="str">
        <f t="shared" si="28"/>
        <v/>
      </c>
      <c r="AK64" s="4" t="str">
        <f t="shared" si="29"/>
        <v/>
      </c>
      <c r="AL64" s="4" t="str">
        <f t="shared" si="30"/>
        <v/>
      </c>
      <c r="AM64" s="4" t="str">
        <f t="shared" si="31"/>
        <v/>
      </c>
      <c r="AN64" s="5"/>
      <c r="AP64" s="6" t="str">
        <f t="shared" si="4"/>
        <v/>
      </c>
      <c r="AQ64" s="10" t="str">
        <f t="shared" si="32"/>
        <v/>
      </c>
      <c r="AR64" s="4" t="str">
        <f t="shared" si="48"/>
        <v/>
      </c>
      <c r="AS64" s="4" t="str">
        <f t="shared" si="33"/>
        <v/>
      </c>
      <c r="AT64" s="4" t="str">
        <f t="shared" si="34"/>
        <v/>
      </c>
      <c r="AU64" s="4" t="str">
        <f t="shared" si="35"/>
        <v/>
      </c>
      <c r="AV64" s="4" t="str">
        <f t="shared" si="36"/>
        <v/>
      </c>
      <c r="AW64" s="4" t="str">
        <f t="shared" si="37"/>
        <v/>
      </c>
      <c r="AZ64" s="6" t="str">
        <f t="shared" si="5"/>
        <v/>
      </c>
      <c r="BA64" s="10" t="str">
        <f t="shared" si="6"/>
        <v/>
      </c>
      <c r="BB64" s="4" t="str">
        <f t="shared" si="49"/>
        <v/>
      </c>
      <c r="BC64" s="4" t="str">
        <f t="shared" si="38"/>
        <v/>
      </c>
      <c r="BD64" s="4" t="str">
        <f t="shared" si="39"/>
        <v/>
      </c>
      <c r="BE64" s="4" t="str">
        <f t="shared" si="40"/>
        <v/>
      </c>
      <c r="BF64" s="4" t="str">
        <f t="shared" si="41"/>
        <v/>
      </c>
      <c r="BG64" s="4" t="str">
        <f t="shared" si="42"/>
        <v/>
      </c>
      <c r="BH64" s="5"/>
      <c r="BI64" s="7" t="str">
        <f t="shared" si="60"/>
        <v/>
      </c>
      <c r="BJ64" s="7" t="str">
        <f t="shared" si="7"/>
        <v/>
      </c>
      <c r="BK64" s="7"/>
      <c r="BM64" s="6">
        <v>30</v>
      </c>
      <c r="BN64" s="5" t="str">
        <f t="shared" si="50"/>
        <v/>
      </c>
      <c r="BO64" s="5" t="str">
        <f t="shared" si="51"/>
        <v/>
      </c>
      <c r="BP64" s="5" t="str">
        <f t="shared" si="52"/>
        <v/>
      </c>
      <c r="BQ64" s="5">
        <f t="shared" si="53"/>
        <v>0</v>
      </c>
      <c r="BR64" s="5" t="str">
        <f t="shared" si="54"/>
        <v/>
      </c>
      <c r="CC64" s="6"/>
      <c r="CD64" s="54"/>
      <c r="CE64" s="55"/>
      <c r="CF64" s="55"/>
      <c r="CG64" s="55"/>
      <c r="CH64" s="55"/>
      <c r="CI64" s="55"/>
      <c r="CJ64" s="55"/>
      <c r="DB64" s="4"/>
    </row>
    <row r="65" spans="1:106" x14ac:dyDescent="0.3">
      <c r="A65" s="9">
        <v>30</v>
      </c>
      <c r="B65" s="6" t="str">
        <f t="shared" si="8"/>
        <v/>
      </c>
      <c r="C65" s="46" t="str">
        <f>IF(A65&lt;=$C$19,'Fechas de pago'!B49,"")</f>
        <v/>
      </c>
      <c r="D65" s="4" t="str">
        <f t="shared" si="9"/>
        <v/>
      </c>
      <c r="E65" s="4" t="str">
        <f t="shared" si="10"/>
        <v/>
      </c>
      <c r="F65" s="4" t="str">
        <f t="shared" si="11"/>
        <v/>
      </c>
      <c r="G65" s="4" t="str">
        <f t="shared" si="12"/>
        <v/>
      </c>
      <c r="H65" s="4" t="str">
        <f t="shared" si="13"/>
        <v/>
      </c>
      <c r="I65" s="4" t="str">
        <f t="shared" si="14"/>
        <v/>
      </c>
      <c r="K65" s="5"/>
      <c r="L65" s="6" t="str">
        <f t="shared" si="3"/>
        <v/>
      </c>
      <c r="M65" s="10" t="str">
        <f t="shared" si="15"/>
        <v/>
      </c>
      <c r="N65" s="4" t="str">
        <f t="shared" si="43"/>
        <v/>
      </c>
      <c r="O65" s="4" t="str">
        <f t="shared" si="16"/>
        <v/>
      </c>
      <c r="P65" s="4" t="str">
        <f t="shared" si="17"/>
        <v/>
      </c>
      <c r="Q65" s="4" t="str">
        <f t="shared" si="18"/>
        <v/>
      </c>
      <c r="R65" s="4" t="str">
        <f t="shared" si="19"/>
        <v/>
      </c>
      <c r="S65" s="4" t="str">
        <f t="shared" si="20"/>
        <v/>
      </c>
      <c r="T65" s="5"/>
      <c r="V65" s="6" t="str">
        <f t="shared" si="21"/>
        <v/>
      </c>
      <c r="W65" s="10" t="str">
        <f t="shared" si="44"/>
        <v/>
      </c>
      <c r="X65" s="4" t="str">
        <f t="shared" si="61"/>
        <v/>
      </c>
      <c r="Y65" s="4" t="str">
        <f t="shared" si="22"/>
        <v/>
      </c>
      <c r="Z65" s="4" t="str">
        <f t="shared" si="23"/>
        <v/>
      </c>
      <c r="AA65" s="4">
        <f t="shared" si="62"/>
        <v>0</v>
      </c>
      <c r="AB65" s="4" t="str">
        <f t="shared" si="24"/>
        <v/>
      </c>
      <c r="AC65" s="4" t="str">
        <f t="shared" si="25"/>
        <v/>
      </c>
      <c r="AD65" s="5"/>
      <c r="AF65" s="6" t="str">
        <f t="shared" si="26"/>
        <v/>
      </c>
      <c r="AG65" s="10" t="str">
        <f t="shared" si="46"/>
        <v/>
      </c>
      <c r="AH65" s="4" t="str">
        <f t="shared" si="63"/>
        <v/>
      </c>
      <c r="AI65" s="4" t="str">
        <f t="shared" si="27"/>
        <v/>
      </c>
      <c r="AJ65" s="4" t="str">
        <f t="shared" si="28"/>
        <v/>
      </c>
      <c r="AK65" s="4" t="str">
        <f t="shared" si="29"/>
        <v/>
      </c>
      <c r="AL65" s="4" t="str">
        <f t="shared" si="30"/>
        <v/>
      </c>
      <c r="AM65" s="4" t="str">
        <f t="shared" si="31"/>
        <v/>
      </c>
      <c r="AN65" s="5"/>
      <c r="AP65" s="6" t="str">
        <f t="shared" si="4"/>
        <v/>
      </c>
      <c r="AQ65" s="10" t="str">
        <f t="shared" si="32"/>
        <v/>
      </c>
      <c r="AR65" s="4" t="str">
        <f t="shared" si="48"/>
        <v/>
      </c>
      <c r="AS65" s="4" t="str">
        <f t="shared" si="33"/>
        <v/>
      </c>
      <c r="AT65" s="4" t="str">
        <f t="shared" si="34"/>
        <v/>
      </c>
      <c r="AU65" s="4" t="str">
        <f t="shared" si="35"/>
        <v/>
      </c>
      <c r="AV65" s="4" t="str">
        <f t="shared" si="36"/>
        <v/>
      </c>
      <c r="AW65" s="4" t="str">
        <f t="shared" si="37"/>
        <v/>
      </c>
      <c r="AZ65" s="6" t="str">
        <f t="shared" si="5"/>
        <v/>
      </c>
      <c r="BA65" s="10" t="str">
        <f t="shared" si="6"/>
        <v/>
      </c>
      <c r="BB65" s="4" t="str">
        <f t="shared" si="49"/>
        <v/>
      </c>
      <c r="BC65" s="4" t="str">
        <f t="shared" si="38"/>
        <v/>
      </c>
      <c r="BD65" s="4" t="str">
        <f t="shared" si="39"/>
        <v/>
      </c>
      <c r="BE65" s="4" t="str">
        <f t="shared" si="40"/>
        <v/>
      </c>
      <c r="BF65" s="4" t="str">
        <f t="shared" si="41"/>
        <v/>
      </c>
      <c r="BG65" s="4" t="str">
        <f t="shared" si="42"/>
        <v/>
      </c>
      <c r="BH65" s="5"/>
      <c r="BI65" s="7" t="str">
        <f t="shared" si="60"/>
        <v/>
      </c>
      <c r="BJ65" s="7" t="str">
        <f t="shared" si="7"/>
        <v/>
      </c>
      <c r="BK65" s="7"/>
      <c r="BM65" s="6">
        <v>31</v>
      </c>
      <c r="BN65" s="5" t="str">
        <f t="shared" si="50"/>
        <v/>
      </c>
      <c r="BO65" s="5" t="str">
        <f t="shared" si="51"/>
        <v/>
      </c>
      <c r="BP65" s="5" t="str">
        <f t="shared" si="52"/>
        <v/>
      </c>
      <c r="BQ65" s="5">
        <f t="shared" si="53"/>
        <v>0</v>
      </c>
      <c r="BR65" s="5" t="str">
        <f t="shared" si="54"/>
        <v/>
      </c>
      <c r="CC65" s="6"/>
      <c r="CD65" s="54"/>
      <c r="CE65" s="55"/>
      <c r="CF65" s="55"/>
      <c r="CG65" s="55"/>
      <c r="CH65" s="55"/>
      <c r="CI65" s="55"/>
      <c r="CJ65" s="55"/>
      <c r="DB65" s="4"/>
    </row>
    <row r="66" spans="1:106" x14ac:dyDescent="0.3">
      <c r="A66" s="9">
        <v>31</v>
      </c>
      <c r="B66" s="6" t="str">
        <f t="shared" si="8"/>
        <v/>
      </c>
      <c r="C66" s="46" t="str">
        <f>IF(A66&lt;=$C$19,'Fechas de pago'!B50,"")</f>
        <v/>
      </c>
      <c r="D66" s="4" t="str">
        <f t="shared" si="9"/>
        <v/>
      </c>
      <c r="E66" s="4" t="str">
        <f t="shared" si="10"/>
        <v/>
      </c>
      <c r="F66" s="4" t="str">
        <f t="shared" si="11"/>
        <v/>
      </c>
      <c r="G66" s="4" t="str">
        <f t="shared" si="12"/>
        <v/>
      </c>
      <c r="H66" s="4" t="str">
        <f t="shared" si="13"/>
        <v/>
      </c>
      <c r="I66" s="4" t="str">
        <f t="shared" si="14"/>
        <v/>
      </c>
      <c r="K66" s="5"/>
      <c r="L66" s="6" t="str">
        <f t="shared" si="3"/>
        <v/>
      </c>
      <c r="M66" s="10" t="str">
        <f t="shared" si="15"/>
        <v/>
      </c>
      <c r="N66" s="4" t="str">
        <f t="shared" si="43"/>
        <v/>
      </c>
      <c r="O66" s="4" t="str">
        <f t="shared" si="16"/>
        <v/>
      </c>
      <c r="P66" s="4" t="str">
        <f t="shared" si="17"/>
        <v/>
      </c>
      <c r="Q66" s="4" t="str">
        <f t="shared" si="18"/>
        <v/>
      </c>
      <c r="R66" s="4" t="str">
        <f t="shared" si="19"/>
        <v/>
      </c>
      <c r="S66" s="4" t="str">
        <f t="shared" si="20"/>
        <v/>
      </c>
      <c r="T66" s="5"/>
      <c r="V66" s="6" t="str">
        <f t="shared" si="21"/>
        <v/>
      </c>
      <c r="W66" s="10" t="str">
        <f t="shared" si="44"/>
        <v/>
      </c>
      <c r="X66" s="4" t="str">
        <f t="shared" si="61"/>
        <v/>
      </c>
      <c r="Y66" s="4" t="str">
        <f t="shared" si="22"/>
        <v/>
      </c>
      <c r="Z66" s="4" t="str">
        <f t="shared" si="23"/>
        <v/>
      </c>
      <c r="AA66" s="4">
        <f t="shared" si="62"/>
        <v>0</v>
      </c>
      <c r="AB66" s="4" t="str">
        <f t="shared" si="24"/>
        <v/>
      </c>
      <c r="AC66" s="4" t="str">
        <f t="shared" si="25"/>
        <v/>
      </c>
      <c r="AD66" s="5"/>
      <c r="AF66" s="6" t="str">
        <f t="shared" si="26"/>
        <v/>
      </c>
      <c r="AG66" s="10" t="str">
        <f t="shared" si="46"/>
        <v/>
      </c>
      <c r="AH66" s="4" t="str">
        <f t="shared" si="63"/>
        <v/>
      </c>
      <c r="AI66" s="4" t="str">
        <f t="shared" si="27"/>
        <v/>
      </c>
      <c r="AJ66" s="4" t="str">
        <f t="shared" si="28"/>
        <v/>
      </c>
      <c r="AK66" s="4" t="str">
        <f t="shared" si="29"/>
        <v/>
      </c>
      <c r="AL66" s="4" t="str">
        <f t="shared" si="30"/>
        <v/>
      </c>
      <c r="AM66" s="4" t="str">
        <f t="shared" si="31"/>
        <v/>
      </c>
      <c r="AN66" s="5"/>
      <c r="AP66" s="6" t="str">
        <f t="shared" si="4"/>
        <v/>
      </c>
      <c r="AQ66" s="10" t="str">
        <f t="shared" si="32"/>
        <v/>
      </c>
      <c r="AR66" s="4" t="str">
        <f t="shared" si="48"/>
        <v/>
      </c>
      <c r="AS66" s="4" t="str">
        <f t="shared" si="33"/>
        <v/>
      </c>
      <c r="AT66" s="4" t="str">
        <f t="shared" si="34"/>
        <v/>
      </c>
      <c r="AU66" s="4" t="str">
        <f t="shared" si="35"/>
        <v/>
      </c>
      <c r="AV66" s="4" t="str">
        <f t="shared" si="36"/>
        <v/>
      </c>
      <c r="AW66" s="4" t="str">
        <f t="shared" si="37"/>
        <v/>
      </c>
      <c r="AZ66" s="6" t="str">
        <f t="shared" si="5"/>
        <v/>
      </c>
      <c r="BA66" s="10" t="str">
        <f t="shared" si="6"/>
        <v/>
      </c>
      <c r="BB66" s="4" t="str">
        <f t="shared" si="49"/>
        <v/>
      </c>
      <c r="BC66" s="4" t="str">
        <f t="shared" si="38"/>
        <v/>
      </c>
      <c r="BD66" s="4" t="str">
        <f t="shared" si="39"/>
        <v/>
      </c>
      <c r="BE66" s="4" t="str">
        <f t="shared" si="40"/>
        <v/>
      </c>
      <c r="BF66" s="4" t="str">
        <f t="shared" si="41"/>
        <v/>
      </c>
      <c r="BG66" s="4" t="str">
        <f t="shared" si="42"/>
        <v/>
      </c>
      <c r="BH66" s="5"/>
      <c r="BI66" s="7" t="str">
        <f t="shared" si="60"/>
        <v/>
      </c>
      <c r="BJ66" s="7" t="str">
        <f t="shared" si="7"/>
        <v/>
      </c>
      <c r="BK66" s="7"/>
      <c r="BM66" s="6">
        <v>32</v>
      </c>
      <c r="BN66" s="5" t="str">
        <f t="shared" si="50"/>
        <v/>
      </c>
      <c r="BO66" s="5" t="str">
        <f t="shared" si="51"/>
        <v/>
      </c>
      <c r="BP66" s="5" t="str">
        <f t="shared" si="52"/>
        <v/>
      </c>
      <c r="BQ66" s="5">
        <f t="shared" si="53"/>
        <v>0</v>
      </c>
      <c r="BR66" s="5" t="str">
        <f t="shared" si="54"/>
        <v/>
      </c>
      <c r="CC66" s="6"/>
      <c r="CD66" s="54"/>
      <c r="CE66" s="55"/>
      <c r="CF66" s="55"/>
      <c r="CG66" s="55"/>
      <c r="CH66" s="55"/>
      <c r="CI66" s="55"/>
      <c r="CJ66" s="55"/>
      <c r="DB66" s="4"/>
    </row>
    <row r="67" spans="1:106" x14ac:dyDescent="0.3">
      <c r="A67" s="9">
        <v>32</v>
      </c>
      <c r="B67" s="6" t="str">
        <f t="shared" si="8"/>
        <v/>
      </c>
      <c r="C67" s="46" t="str">
        <f>IF(A67&lt;=$C$19,'Fechas de pago'!B51,"")</f>
        <v/>
      </c>
      <c r="D67" s="4" t="str">
        <f t="shared" si="9"/>
        <v/>
      </c>
      <c r="E67" s="4" t="str">
        <f t="shared" si="10"/>
        <v/>
      </c>
      <c r="F67" s="4" t="str">
        <f t="shared" si="11"/>
        <v/>
      </c>
      <c r="G67" s="4" t="str">
        <f t="shared" si="12"/>
        <v/>
      </c>
      <c r="H67" s="4" t="str">
        <f t="shared" si="13"/>
        <v/>
      </c>
      <c r="I67" s="4" t="str">
        <f t="shared" si="14"/>
        <v/>
      </c>
      <c r="K67" s="5"/>
      <c r="L67" s="6" t="str">
        <f t="shared" ref="L67:L98" si="64">B67</f>
        <v/>
      </c>
      <c r="M67" s="10" t="str">
        <f t="shared" si="15"/>
        <v/>
      </c>
      <c r="N67" s="4" t="str">
        <f t="shared" si="43"/>
        <v/>
      </c>
      <c r="O67" s="4" t="str">
        <f t="shared" si="16"/>
        <v/>
      </c>
      <c r="P67" s="4" t="str">
        <f t="shared" si="17"/>
        <v/>
      </c>
      <c r="Q67" s="4" t="str">
        <f t="shared" si="18"/>
        <v/>
      </c>
      <c r="R67" s="4" t="str">
        <f t="shared" si="19"/>
        <v/>
      </c>
      <c r="S67" s="4" t="str">
        <f t="shared" si="20"/>
        <v/>
      </c>
      <c r="T67" s="5"/>
      <c r="V67" s="6" t="str">
        <f t="shared" si="21"/>
        <v/>
      </c>
      <c r="W67" s="10" t="str">
        <f t="shared" si="44"/>
        <v/>
      </c>
      <c r="X67" s="4" t="str">
        <f t="shared" si="61"/>
        <v/>
      </c>
      <c r="Y67" s="4" t="str">
        <f t="shared" si="22"/>
        <v/>
      </c>
      <c r="Z67" s="4" t="str">
        <f t="shared" si="23"/>
        <v/>
      </c>
      <c r="AA67" s="4">
        <f t="shared" si="62"/>
        <v>0</v>
      </c>
      <c r="AB67" s="4" t="str">
        <f t="shared" si="24"/>
        <v/>
      </c>
      <c r="AC67" s="4" t="str">
        <f t="shared" si="25"/>
        <v/>
      </c>
      <c r="AD67" s="5"/>
      <c r="AF67" s="6" t="str">
        <f t="shared" si="26"/>
        <v/>
      </c>
      <c r="AG67" s="10" t="str">
        <f t="shared" si="46"/>
        <v/>
      </c>
      <c r="AH67" s="4" t="str">
        <f t="shared" si="63"/>
        <v/>
      </c>
      <c r="AI67" s="4" t="str">
        <f t="shared" si="27"/>
        <v/>
      </c>
      <c r="AJ67" s="4" t="str">
        <f t="shared" si="28"/>
        <v/>
      </c>
      <c r="AK67" s="4" t="str">
        <f t="shared" si="29"/>
        <v/>
      </c>
      <c r="AL67" s="4" t="str">
        <f t="shared" si="30"/>
        <v/>
      </c>
      <c r="AM67" s="4" t="str">
        <f t="shared" si="31"/>
        <v/>
      </c>
      <c r="AN67" s="5"/>
      <c r="AP67" s="6" t="str">
        <f t="shared" ref="AP67:AP98" si="65">B67</f>
        <v/>
      </c>
      <c r="AQ67" s="10" t="str">
        <f t="shared" si="32"/>
        <v/>
      </c>
      <c r="AR67" s="4" t="str">
        <f t="shared" si="48"/>
        <v/>
      </c>
      <c r="AS67" s="4" t="str">
        <f t="shared" si="33"/>
        <v/>
      </c>
      <c r="AT67" s="4" t="str">
        <f t="shared" si="34"/>
        <v/>
      </c>
      <c r="AU67" s="4" t="str">
        <f t="shared" si="35"/>
        <v/>
      </c>
      <c r="AV67" s="4" t="str">
        <f t="shared" si="36"/>
        <v/>
      </c>
      <c r="AW67" s="4" t="str">
        <f t="shared" si="37"/>
        <v/>
      </c>
      <c r="AZ67" s="6" t="str">
        <f t="shared" ref="AZ67:AZ98" si="66">B67</f>
        <v/>
      </c>
      <c r="BA67" s="10" t="str">
        <f t="shared" ref="BA67:BA98" si="67">C67</f>
        <v/>
      </c>
      <c r="BB67" s="4" t="str">
        <f t="shared" si="49"/>
        <v/>
      </c>
      <c r="BC67" s="4" t="str">
        <f t="shared" si="38"/>
        <v/>
      </c>
      <c r="BD67" s="4" t="str">
        <f t="shared" si="39"/>
        <v/>
      </c>
      <c r="BE67" s="4" t="str">
        <f t="shared" si="40"/>
        <v/>
      </c>
      <c r="BF67" s="4" t="str">
        <f t="shared" si="41"/>
        <v/>
      </c>
      <c r="BG67" s="4" t="str">
        <f t="shared" si="42"/>
        <v/>
      </c>
      <c r="BH67" s="5"/>
      <c r="BI67" s="7" t="str">
        <f t="shared" si="60"/>
        <v/>
      </c>
      <c r="BJ67" s="7" t="str">
        <f t="shared" ref="BJ67:BJ98" si="68">IF(B67&lt;=$C$19,BI67/((1+$BK$32)^(BM67/12)),"")</f>
        <v/>
      </c>
      <c r="BK67" s="7"/>
      <c r="BM67" s="6">
        <v>33</v>
      </c>
      <c r="BN67" s="5" t="str">
        <f t="shared" si="50"/>
        <v/>
      </c>
      <c r="BO67" s="5" t="str">
        <f t="shared" si="51"/>
        <v/>
      </c>
      <c r="BP67" s="5" t="str">
        <f t="shared" si="52"/>
        <v/>
      </c>
      <c r="BQ67" s="5">
        <f t="shared" si="53"/>
        <v>0</v>
      </c>
      <c r="BR67" s="5" t="str">
        <f t="shared" si="54"/>
        <v/>
      </c>
      <c r="CC67" s="6"/>
      <c r="CD67" s="54"/>
      <c r="CE67" s="55"/>
      <c r="CF67" s="55"/>
      <c r="CG67" s="55"/>
      <c r="CH67" s="55"/>
      <c r="CI67" s="55"/>
      <c r="CJ67" s="55"/>
      <c r="DB67" s="4"/>
    </row>
    <row r="68" spans="1:106" x14ac:dyDescent="0.3">
      <c r="A68" s="9">
        <v>33</v>
      </c>
      <c r="B68" s="6" t="str">
        <f t="shared" ref="B68:B99" si="69">IF(A68&lt;=$C$19,A68,"")</f>
        <v/>
      </c>
      <c r="C68" s="46" t="str">
        <f>IF(A68&lt;=$C$19,'Fechas de pago'!B52,"")</f>
        <v/>
      </c>
      <c r="D68" s="4" t="str">
        <f t="shared" ref="D68:D99" si="70">IF(A68&lt;=$C$19,N68+X68+AH68+AR68+BB68,"")</f>
        <v/>
      </c>
      <c r="E68" s="4" t="str">
        <f t="shared" ref="E68:E99" si="71">IF(A68&lt;=$C$19,O68+Y68+AI68+AS68+BC68,"")</f>
        <v/>
      </c>
      <c r="F68" s="4" t="str">
        <f t="shared" ref="F68:F99" si="72">IF(A68&lt;=$C$19,P68+Z68+AJ68+AT68+BD68,"")</f>
        <v/>
      </c>
      <c r="G68" s="4" t="str">
        <f t="shared" ref="G68:G99" si="73">IF(A68&lt;=$C$19,Q68+AA68+AK68+AU68+BE68,"")</f>
        <v/>
      </c>
      <c r="H68" s="4" t="str">
        <f t="shared" ref="H68:H99" si="74">IF(A68&lt;=$C$19,IF($H$18="PFAE",0,F68*0.16),"")</f>
        <v/>
      </c>
      <c r="I68" s="4" t="str">
        <f t="shared" ref="I68:I99" si="75">IF(A68&lt;=$C$19,G68+H68,"")</f>
        <v/>
      </c>
      <c r="K68" s="5"/>
      <c r="L68" s="6" t="str">
        <f t="shared" si="64"/>
        <v/>
      </c>
      <c r="M68" s="10" t="str">
        <f t="shared" ref="M68:M99" si="76">C68</f>
        <v/>
      </c>
      <c r="N68" s="4" t="str">
        <f t="shared" si="43"/>
        <v/>
      </c>
      <c r="O68" s="4" t="str">
        <f t="shared" ref="O68:O99" si="77">IF(A68&lt;=$C$19,Q68-P68,"")</f>
        <v/>
      </c>
      <c r="P68" s="4" t="str">
        <f t="shared" ref="P68:P99" si="78">IF(A68&lt;=$C$19,N68*$C$20/12,"")</f>
        <v/>
      </c>
      <c r="Q68" s="4" t="str">
        <f t="shared" ref="Q68:Q99" si="79">IF(A68&lt;=$C$19,HLOOKUP($C$19,$M$29:$R$30,2,0),"")</f>
        <v/>
      </c>
      <c r="R68" s="4" t="str">
        <f t="shared" ref="R68:R99" si="80">IF(A68&lt;=$C$19,P68*0.16,"")</f>
        <v/>
      </c>
      <c r="S68" s="4" t="str">
        <f t="shared" ref="S68:S99" si="81">IF(A68&lt;=$C$19,Q68+R68,"")</f>
        <v/>
      </c>
      <c r="T68" s="5"/>
      <c r="V68" s="6" t="str">
        <f t="shared" si="21"/>
        <v/>
      </c>
      <c r="W68" s="10" t="str">
        <f t="shared" si="44"/>
        <v/>
      </c>
      <c r="X68" s="4" t="str">
        <f t="shared" si="61"/>
        <v/>
      </c>
      <c r="Y68" s="4" t="str">
        <f t="shared" ref="Y68:Y99" si="82">IFERROR(IF(A68&lt;=$C$19,AA68-Z68,""),0)</f>
        <v/>
      </c>
      <c r="Z68" s="4" t="str">
        <f t="shared" ref="Z68:Z99" si="83">IFERROR(IF(A68&lt;=$C$19,X68*$C$20/12,""),0)</f>
        <v/>
      </c>
      <c r="AA68" s="4">
        <f t="shared" si="62"/>
        <v>0</v>
      </c>
      <c r="AB68" s="4" t="str">
        <f t="shared" ref="AB68:AB99" si="84">IF(A68&lt;=$C$19,Z68*0.16,"")</f>
        <v/>
      </c>
      <c r="AC68" s="4" t="str">
        <f t="shared" ref="AC68:AC99" si="85">IFERROR(IF(A68&lt;=$C$19,AA68+AB68,""),0)</f>
        <v/>
      </c>
      <c r="AD68" s="5"/>
      <c r="AF68" s="6" t="str">
        <f t="shared" si="26"/>
        <v/>
      </c>
      <c r="AG68" s="10" t="str">
        <f t="shared" si="46"/>
        <v/>
      </c>
      <c r="AH68" s="4" t="str">
        <f t="shared" si="63"/>
        <v/>
      </c>
      <c r="AI68" s="4" t="str">
        <f t="shared" ref="AI68:AI99" si="86">IF(A68&lt;=$C$19,AK68-AJ68,"")</f>
        <v/>
      </c>
      <c r="AJ68" s="4" t="str">
        <f t="shared" ref="AJ68:AJ99" si="87">IF(A68&lt;=$C$19,AH68*$C$20/12,"")</f>
        <v/>
      </c>
      <c r="AK68" s="4" t="str">
        <f t="shared" ref="AK68:AK99" si="88">IF(A68&lt;=$C$19,HLOOKUP($C$19,$AG$29:$AL$30,2,0),"")</f>
        <v/>
      </c>
      <c r="AL68" s="4" t="str">
        <f t="shared" ref="AL68:AL99" si="89">IF(A68&lt;=$C$19,AJ68*0.16,"")</f>
        <v/>
      </c>
      <c r="AM68" s="4" t="str">
        <f t="shared" ref="AM68:AM99" si="90">IF(A68&lt;=$C$19,AK68+AL68,"")</f>
        <v/>
      </c>
      <c r="AN68" s="5"/>
      <c r="AP68" s="6" t="str">
        <f t="shared" si="65"/>
        <v/>
      </c>
      <c r="AQ68" s="10" t="str">
        <f t="shared" ref="AQ68:AQ99" si="91">C68</f>
        <v/>
      </c>
      <c r="AR68" s="4" t="str">
        <f t="shared" si="48"/>
        <v/>
      </c>
      <c r="AS68" s="4" t="str">
        <f t="shared" ref="AS68:AS99" si="92">IF(A68&lt;=$C$19,AU68-AT68,"")</f>
        <v/>
      </c>
      <c r="AT68" s="4" t="str">
        <f t="shared" ref="AT68:AT99" si="93">IF(A68&lt;=$C$19,AR68*$C$20/12,"")</f>
        <v/>
      </c>
      <c r="AU68" s="4" t="str">
        <f t="shared" ref="AU68:AU99" si="94">IF(A68&lt;=$C$19,HLOOKUP($C$19,$AQ$29:$AV$30,2,0),"")</f>
        <v/>
      </c>
      <c r="AV68" s="4" t="str">
        <f t="shared" ref="AV68:AV99" si="95">IF(A68&lt;=$C$19,AT68*0.16,"")</f>
        <v/>
      </c>
      <c r="AW68" s="4" t="str">
        <f t="shared" ref="AW68:AW99" si="96">IF(A68&lt;=$C$19,AU68+AV68,"")</f>
        <v/>
      </c>
      <c r="AZ68" s="6" t="str">
        <f t="shared" si="66"/>
        <v/>
      </c>
      <c r="BA68" s="10" t="str">
        <f t="shared" si="67"/>
        <v/>
      </c>
      <c r="BB68" s="4" t="str">
        <f t="shared" si="49"/>
        <v/>
      </c>
      <c r="BC68" s="4" t="str">
        <f t="shared" ref="BC68:BC99" si="97">IF(A68&lt;=$C$19,BE68-BD68,"")</f>
        <v/>
      </c>
      <c r="BD68" s="4" t="str">
        <f t="shared" ref="BD68:BD99" si="98">IF(A68&lt;=$C$19,BB68*$C$20/12,"")</f>
        <v/>
      </c>
      <c r="BE68" s="4" t="str">
        <f t="shared" ref="BE68:BE99" si="99">IF(A68&lt;=$C$19,HLOOKUP($C$19,$BA$29:$BF$30,2,0),"")</f>
        <v/>
      </c>
      <c r="BF68" s="4" t="str">
        <f t="shared" ref="BF68:BF99" si="100">IF(A68&lt;=$C$19,BD68*0.16,"")</f>
        <v/>
      </c>
      <c r="BG68" s="4" t="str">
        <f t="shared" ref="BG68:BG99" si="101">IF(A68&lt;=$C$19,BE68+BF68,"")</f>
        <v/>
      </c>
      <c r="BH68" s="5"/>
      <c r="BI68" s="7" t="str">
        <f t="shared" si="60"/>
        <v/>
      </c>
      <c r="BJ68" s="7" t="str">
        <f t="shared" si="68"/>
        <v/>
      </c>
      <c r="BK68" s="7"/>
      <c r="BM68" s="6">
        <v>34</v>
      </c>
      <c r="BN68" s="5" t="str">
        <f t="shared" si="50"/>
        <v/>
      </c>
      <c r="BO68" s="5" t="str">
        <f t="shared" si="51"/>
        <v/>
      </c>
      <c r="BP68" s="5" t="str">
        <f t="shared" si="52"/>
        <v/>
      </c>
      <c r="BQ68" s="5">
        <f t="shared" si="53"/>
        <v>0</v>
      </c>
      <c r="BR68" s="5" t="str">
        <f t="shared" si="54"/>
        <v/>
      </c>
      <c r="CC68" s="6"/>
      <c r="CD68" s="54"/>
      <c r="CE68" s="55"/>
      <c r="CF68" s="55"/>
      <c r="CG68" s="55"/>
      <c r="CH68" s="55"/>
      <c r="CI68" s="55"/>
      <c r="CJ68" s="55"/>
      <c r="DB68" s="4"/>
    </row>
    <row r="69" spans="1:106" x14ac:dyDescent="0.3">
      <c r="A69" s="9">
        <v>34</v>
      </c>
      <c r="B69" s="6" t="str">
        <f t="shared" si="69"/>
        <v/>
      </c>
      <c r="C69" s="46" t="str">
        <f>IF(A69&lt;=$C$19,'Fechas de pago'!B53,"")</f>
        <v/>
      </c>
      <c r="D69" s="4" t="str">
        <f t="shared" si="70"/>
        <v/>
      </c>
      <c r="E69" s="4" t="str">
        <f t="shared" si="71"/>
        <v/>
      </c>
      <c r="F69" s="4" t="str">
        <f t="shared" si="72"/>
        <v/>
      </c>
      <c r="G69" s="4" t="str">
        <f t="shared" si="73"/>
        <v/>
      </c>
      <c r="H69" s="4" t="str">
        <f t="shared" si="74"/>
        <v/>
      </c>
      <c r="I69" s="4" t="str">
        <f t="shared" si="75"/>
        <v/>
      </c>
      <c r="K69" s="5"/>
      <c r="L69" s="6" t="str">
        <f t="shared" si="64"/>
        <v/>
      </c>
      <c r="M69" s="10" t="str">
        <f t="shared" si="76"/>
        <v/>
      </c>
      <c r="N69" s="4" t="str">
        <f t="shared" ref="N69:N100" si="102">IF(A69&lt;=$C$19,N68-O68,"")</f>
        <v/>
      </c>
      <c r="O69" s="4" t="str">
        <f t="shared" si="77"/>
        <v/>
      </c>
      <c r="P69" s="4" t="str">
        <f t="shared" si="78"/>
        <v/>
      </c>
      <c r="Q69" s="4" t="str">
        <f t="shared" si="79"/>
        <v/>
      </c>
      <c r="R69" s="4" t="str">
        <f t="shared" si="80"/>
        <v/>
      </c>
      <c r="S69" s="4" t="str">
        <f t="shared" si="81"/>
        <v/>
      </c>
      <c r="T69" s="5"/>
      <c r="V69" s="6" t="str">
        <f t="shared" si="21"/>
        <v/>
      </c>
      <c r="W69" s="10" t="str">
        <f t="shared" si="44"/>
        <v/>
      </c>
      <c r="X69" s="4" t="str">
        <f t="shared" si="61"/>
        <v/>
      </c>
      <c r="Y69" s="4" t="str">
        <f t="shared" si="82"/>
        <v/>
      </c>
      <c r="Z69" s="4" t="str">
        <f t="shared" si="83"/>
        <v/>
      </c>
      <c r="AA69" s="4">
        <f t="shared" si="62"/>
        <v>0</v>
      </c>
      <c r="AB69" s="4" t="str">
        <f t="shared" si="84"/>
        <v/>
      </c>
      <c r="AC69" s="4" t="str">
        <f t="shared" si="85"/>
        <v/>
      </c>
      <c r="AD69" s="5"/>
      <c r="AF69" s="6" t="str">
        <f t="shared" si="26"/>
        <v/>
      </c>
      <c r="AG69" s="10" t="str">
        <f t="shared" si="46"/>
        <v/>
      </c>
      <c r="AH69" s="4" t="str">
        <f t="shared" si="63"/>
        <v/>
      </c>
      <c r="AI69" s="4" t="str">
        <f t="shared" si="86"/>
        <v/>
      </c>
      <c r="AJ69" s="4" t="str">
        <f t="shared" si="87"/>
        <v/>
      </c>
      <c r="AK69" s="4" t="str">
        <f t="shared" si="88"/>
        <v/>
      </c>
      <c r="AL69" s="4" t="str">
        <f t="shared" si="89"/>
        <v/>
      </c>
      <c r="AM69" s="4" t="str">
        <f t="shared" si="90"/>
        <v/>
      </c>
      <c r="AN69" s="5"/>
      <c r="AP69" s="6" t="str">
        <f t="shared" si="65"/>
        <v/>
      </c>
      <c r="AQ69" s="10" t="str">
        <f t="shared" si="91"/>
        <v/>
      </c>
      <c r="AR69" s="4" t="str">
        <f t="shared" ref="AR69:AR100" si="103">IF(A69&lt;=$C$19,AR68-AS68,"")</f>
        <v/>
      </c>
      <c r="AS69" s="4" t="str">
        <f t="shared" si="92"/>
        <v/>
      </c>
      <c r="AT69" s="4" t="str">
        <f t="shared" si="93"/>
        <v/>
      </c>
      <c r="AU69" s="4" t="str">
        <f t="shared" si="94"/>
        <v/>
      </c>
      <c r="AV69" s="4" t="str">
        <f t="shared" si="95"/>
        <v/>
      </c>
      <c r="AW69" s="4" t="str">
        <f t="shared" si="96"/>
        <v/>
      </c>
      <c r="AZ69" s="6" t="str">
        <f t="shared" si="66"/>
        <v/>
      </c>
      <c r="BA69" s="10" t="str">
        <f t="shared" si="67"/>
        <v/>
      </c>
      <c r="BB69" s="4" t="str">
        <f t="shared" ref="BB69:BB100" si="104">IF(A69&lt;=$C$19,BB68-BC68,"")</f>
        <v/>
      </c>
      <c r="BC69" s="4" t="str">
        <f t="shared" si="97"/>
        <v/>
      </c>
      <c r="BD69" s="4" t="str">
        <f t="shared" si="98"/>
        <v/>
      </c>
      <c r="BE69" s="4" t="str">
        <f t="shared" si="99"/>
        <v/>
      </c>
      <c r="BF69" s="4" t="str">
        <f t="shared" si="100"/>
        <v/>
      </c>
      <c r="BG69" s="4" t="str">
        <f t="shared" si="101"/>
        <v/>
      </c>
      <c r="BH69" s="5"/>
      <c r="BI69" s="7" t="str">
        <f t="shared" si="60"/>
        <v/>
      </c>
      <c r="BJ69" s="7" t="str">
        <f t="shared" si="68"/>
        <v/>
      </c>
      <c r="BK69" s="7"/>
      <c r="BM69" s="6">
        <v>35</v>
      </c>
      <c r="BN69" s="5" t="str">
        <f t="shared" si="50"/>
        <v/>
      </c>
      <c r="BO69" s="5" t="str">
        <f t="shared" si="51"/>
        <v/>
      </c>
      <c r="BP69" s="5" t="str">
        <f t="shared" si="52"/>
        <v/>
      </c>
      <c r="BQ69" s="5">
        <f t="shared" si="53"/>
        <v>0</v>
      </c>
      <c r="BR69" s="5" t="str">
        <f t="shared" si="54"/>
        <v/>
      </c>
      <c r="CC69" s="6"/>
      <c r="CD69" s="54"/>
      <c r="CE69" s="55"/>
      <c r="CF69" s="55"/>
      <c r="CG69" s="55"/>
      <c r="CH69" s="55"/>
      <c r="CI69" s="55"/>
      <c r="CJ69" s="55"/>
      <c r="DB69" s="4"/>
    </row>
    <row r="70" spans="1:106" x14ac:dyDescent="0.3">
      <c r="A70" s="9">
        <v>35</v>
      </c>
      <c r="B70" s="6" t="str">
        <f t="shared" si="69"/>
        <v/>
      </c>
      <c r="C70" s="46" t="str">
        <f>IF(A70&lt;=$C$19,'Fechas de pago'!B54,"")</f>
        <v/>
      </c>
      <c r="D70" s="4" t="str">
        <f t="shared" si="70"/>
        <v/>
      </c>
      <c r="E70" s="4" t="str">
        <f t="shared" si="71"/>
        <v/>
      </c>
      <c r="F70" s="4" t="str">
        <f t="shared" si="72"/>
        <v/>
      </c>
      <c r="G70" s="4" t="str">
        <f t="shared" si="73"/>
        <v/>
      </c>
      <c r="H70" s="4" t="str">
        <f t="shared" si="74"/>
        <v/>
      </c>
      <c r="I70" s="4" t="str">
        <f t="shared" si="75"/>
        <v/>
      </c>
      <c r="K70" s="5"/>
      <c r="L70" s="6" t="str">
        <f t="shared" si="64"/>
        <v/>
      </c>
      <c r="M70" s="10" t="str">
        <f t="shared" si="76"/>
        <v/>
      </c>
      <c r="N70" s="4" t="str">
        <f t="shared" si="102"/>
        <v/>
      </c>
      <c r="O70" s="4" t="str">
        <f t="shared" si="77"/>
        <v/>
      </c>
      <c r="P70" s="4" t="str">
        <f t="shared" si="78"/>
        <v/>
      </c>
      <c r="Q70" s="4" t="str">
        <f t="shared" si="79"/>
        <v/>
      </c>
      <c r="R70" s="4" t="str">
        <f t="shared" si="80"/>
        <v/>
      </c>
      <c r="S70" s="4" t="str">
        <f t="shared" si="81"/>
        <v/>
      </c>
      <c r="T70" s="5"/>
      <c r="V70" s="6" t="str">
        <f t="shared" si="21"/>
        <v/>
      </c>
      <c r="W70" s="10" t="str">
        <f t="shared" si="44"/>
        <v/>
      </c>
      <c r="X70" s="4" t="str">
        <f t="shared" si="61"/>
        <v/>
      </c>
      <c r="Y70" s="4" t="str">
        <f t="shared" si="82"/>
        <v/>
      </c>
      <c r="Z70" s="4" t="str">
        <f t="shared" si="83"/>
        <v/>
      </c>
      <c r="AA70" s="4">
        <f t="shared" si="62"/>
        <v>0</v>
      </c>
      <c r="AB70" s="4" t="str">
        <f t="shared" si="84"/>
        <v/>
      </c>
      <c r="AC70" s="4" t="str">
        <f t="shared" si="85"/>
        <v/>
      </c>
      <c r="AD70" s="5"/>
      <c r="AF70" s="6" t="str">
        <f t="shared" si="26"/>
        <v/>
      </c>
      <c r="AG70" s="10" t="str">
        <f t="shared" si="46"/>
        <v/>
      </c>
      <c r="AH70" s="4" t="str">
        <f t="shared" si="63"/>
        <v/>
      </c>
      <c r="AI70" s="4" t="str">
        <f t="shared" si="86"/>
        <v/>
      </c>
      <c r="AJ70" s="4" t="str">
        <f t="shared" si="87"/>
        <v/>
      </c>
      <c r="AK70" s="4" t="str">
        <f t="shared" si="88"/>
        <v/>
      </c>
      <c r="AL70" s="4" t="str">
        <f t="shared" si="89"/>
        <v/>
      </c>
      <c r="AM70" s="4" t="str">
        <f t="shared" si="90"/>
        <v/>
      </c>
      <c r="AN70" s="5"/>
      <c r="AP70" s="6" t="str">
        <f t="shared" si="65"/>
        <v/>
      </c>
      <c r="AQ70" s="10" t="str">
        <f t="shared" si="91"/>
        <v/>
      </c>
      <c r="AR70" s="4" t="str">
        <f t="shared" si="103"/>
        <v/>
      </c>
      <c r="AS70" s="4" t="str">
        <f t="shared" si="92"/>
        <v/>
      </c>
      <c r="AT70" s="4" t="str">
        <f t="shared" si="93"/>
        <v/>
      </c>
      <c r="AU70" s="4" t="str">
        <f t="shared" si="94"/>
        <v/>
      </c>
      <c r="AV70" s="4" t="str">
        <f t="shared" si="95"/>
        <v/>
      </c>
      <c r="AW70" s="4" t="str">
        <f t="shared" si="96"/>
        <v/>
      </c>
      <c r="AZ70" s="6" t="str">
        <f t="shared" si="66"/>
        <v/>
      </c>
      <c r="BA70" s="10" t="str">
        <f t="shared" si="67"/>
        <v/>
      </c>
      <c r="BB70" s="4" t="str">
        <f t="shared" si="104"/>
        <v/>
      </c>
      <c r="BC70" s="4" t="str">
        <f t="shared" si="97"/>
        <v/>
      </c>
      <c r="BD70" s="4" t="str">
        <f t="shared" si="98"/>
        <v/>
      </c>
      <c r="BE70" s="4" t="str">
        <f t="shared" si="99"/>
        <v/>
      </c>
      <c r="BF70" s="4" t="str">
        <f t="shared" si="100"/>
        <v/>
      </c>
      <c r="BG70" s="4" t="str">
        <f t="shared" si="101"/>
        <v/>
      </c>
      <c r="BH70" s="5"/>
      <c r="BI70" s="7" t="str">
        <f t="shared" si="60"/>
        <v/>
      </c>
      <c r="BJ70" s="7" t="str">
        <f t="shared" si="68"/>
        <v/>
      </c>
      <c r="BK70" s="7"/>
      <c r="BM70" s="6">
        <v>36</v>
      </c>
      <c r="BN70" s="5" t="str">
        <f t="shared" si="50"/>
        <v/>
      </c>
      <c r="BO70" s="5" t="str">
        <f t="shared" si="51"/>
        <v/>
      </c>
      <c r="BP70" s="5" t="str">
        <f t="shared" si="52"/>
        <v/>
      </c>
      <c r="BQ70" s="5">
        <f t="shared" si="53"/>
        <v>0</v>
      </c>
      <c r="BR70" s="5" t="str">
        <f t="shared" si="54"/>
        <v/>
      </c>
      <c r="CC70" s="6"/>
      <c r="CD70" s="54"/>
      <c r="CE70" s="55"/>
      <c r="CF70" s="55"/>
      <c r="CG70" s="55"/>
      <c r="CH70" s="55"/>
      <c r="CI70" s="55"/>
      <c r="CJ70" s="55"/>
      <c r="DB70" s="4"/>
    </row>
    <row r="71" spans="1:106" x14ac:dyDescent="0.3">
      <c r="A71" s="9">
        <v>36</v>
      </c>
      <c r="B71" s="6" t="str">
        <f t="shared" si="69"/>
        <v/>
      </c>
      <c r="C71" s="46" t="str">
        <f>IF(A71&lt;=$C$19,'Fechas de pago'!B55,"")</f>
        <v/>
      </c>
      <c r="D71" s="4" t="str">
        <f t="shared" si="70"/>
        <v/>
      </c>
      <c r="E71" s="4" t="str">
        <f t="shared" si="71"/>
        <v/>
      </c>
      <c r="F71" s="4" t="str">
        <f t="shared" si="72"/>
        <v/>
      </c>
      <c r="G71" s="4" t="str">
        <f t="shared" si="73"/>
        <v/>
      </c>
      <c r="H71" s="4" t="str">
        <f t="shared" si="74"/>
        <v/>
      </c>
      <c r="I71" s="4" t="str">
        <f t="shared" si="75"/>
        <v/>
      </c>
      <c r="J71" s="5"/>
      <c r="K71" s="5"/>
      <c r="L71" s="6" t="str">
        <f t="shared" si="64"/>
        <v/>
      </c>
      <c r="M71" s="10" t="str">
        <f t="shared" si="76"/>
        <v/>
      </c>
      <c r="N71" s="4" t="str">
        <f t="shared" si="102"/>
        <v/>
      </c>
      <c r="O71" s="4" t="str">
        <f t="shared" si="77"/>
        <v/>
      </c>
      <c r="P71" s="4" t="str">
        <f t="shared" si="78"/>
        <v/>
      </c>
      <c r="Q71" s="4" t="str">
        <f t="shared" si="79"/>
        <v/>
      </c>
      <c r="R71" s="4" t="str">
        <f t="shared" si="80"/>
        <v/>
      </c>
      <c r="S71" s="4" t="str">
        <f t="shared" si="81"/>
        <v/>
      </c>
      <c r="T71" s="5"/>
      <c r="V71" s="6" t="str">
        <f t="shared" si="21"/>
        <v/>
      </c>
      <c r="W71" s="10" t="str">
        <f t="shared" si="44"/>
        <v/>
      </c>
      <c r="X71" s="4" t="str">
        <f t="shared" si="61"/>
        <v/>
      </c>
      <c r="Y71" s="4" t="str">
        <f t="shared" si="82"/>
        <v/>
      </c>
      <c r="Z71" s="4" t="str">
        <f t="shared" si="83"/>
        <v/>
      </c>
      <c r="AA71" s="4">
        <f t="shared" si="62"/>
        <v>0</v>
      </c>
      <c r="AB71" s="4" t="str">
        <f t="shared" si="84"/>
        <v/>
      </c>
      <c r="AC71" s="4" t="str">
        <f t="shared" si="85"/>
        <v/>
      </c>
      <c r="AD71" s="5"/>
      <c r="AF71" s="6" t="str">
        <f t="shared" si="26"/>
        <v/>
      </c>
      <c r="AG71" s="10" t="str">
        <f t="shared" si="46"/>
        <v/>
      </c>
      <c r="AH71" s="4" t="str">
        <f t="shared" si="63"/>
        <v/>
      </c>
      <c r="AI71" s="4" t="str">
        <f t="shared" si="86"/>
        <v/>
      </c>
      <c r="AJ71" s="4" t="str">
        <f t="shared" si="87"/>
        <v/>
      </c>
      <c r="AK71" s="4" t="str">
        <f t="shared" si="88"/>
        <v/>
      </c>
      <c r="AL71" s="4" t="str">
        <f t="shared" si="89"/>
        <v/>
      </c>
      <c r="AM71" s="4" t="str">
        <f t="shared" si="90"/>
        <v/>
      </c>
      <c r="AN71" s="5"/>
      <c r="AP71" s="6" t="str">
        <f t="shared" si="65"/>
        <v/>
      </c>
      <c r="AQ71" s="10" t="str">
        <f t="shared" si="91"/>
        <v/>
      </c>
      <c r="AR71" s="4" t="str">
        <f t="shared" si="103"/>
        <v/>
      </c>
      <c r="AS71" s="4" t="str">
        <f t="shared" si="92"/>
        <v/>
      </c>
      <c r="AT71" s="4" t="str">
        <f t="shared" si="93"/>
        <v/>
      </c>
      <c r="AU71" s="4" t="str">
        <f t="shared" si="94"/>
        <v/>
      </c>
      <c r="AV71" s="4" t="str">
        <f t="shared" si="95"/>
        <v/>
      </c>
      <c r="AW71" s="4" t="str">
        <f t="shared" si="96"/>
        <v/>
      </c>
      <c r="AZ71" s="6" t="str">
        <f t="shared" si="66"/>
        <v/>
      </c>
      <c r="BA71" s="10" t="str">
        <f t="shared" si="67"/>
        <v/>
      </c>
      <c r="BB71" s="4" t="str">
        <f t="shared" si="104"/>
        <v/>
      </c>
      <c r="BC71" s="4" t="str">
        <f t="shared" si="97"/>
        <v/>
      </c>
      <c r="BD71" s="4" t="str">
        <f t="shared" si="98"/>
        <v/>
      </c>
      <c r="BE71" s="4" t="str">
        <f t="shared" si="99"/>
        <v/>
      </c>
      <c r="BF71" s="4" t="str">
        <f t="shared" si="100"/>
        <v/>
      </c>
      <c r="BG71" s="4" t="str">
        <f t="shared" si="101"/>
        <v/>
      </c>
      <c r="BH71" s="5"/>
      <c r="BI71" s="7" t="str">
        <f t="shared" si="60"/>
        <v/>
      </c>
      <c r="BJ71" s="7" t="str">
        <f t="shared" si="68"/>
        <v/>
      </c>
      <c r="BK71" s="7"/>
      <c r="BM71" s="6">
        <v>37</v>
      </c>
      <c r="BN71" s="5" t="str">
        <f t="shared" si="50"/>
        <v/>
      </c>
      <c r="BO71" s="5" t="str">
        <f t="shared" si="51"/>
        <v/>
      </c>
      <c r="BP71" s="5" t="str">
        <f t="shared" si="52"/>
        <v/>
      </c>
      <c r="BQ71" s="5">
        <f t="shared" si="53"/>
        <v>0</v>
      </c>
      <c r="BR71" s="5" t="str">
        <f t="shared" si="54"/>
        <v/>
      </c>
      <c r="CC71" s="6"/>
      <c r="CD71" s="54"/>
      <c r="CE71" s="55"/>
      <c r="CF71" s="55"/>
      <c r="CG71" s="55"/>
      <c r="CH71" s="55"/>
      <c r="CI71" s="55"/>
      <c r="CJ71" s="55"/>
      <c r="DB71" s="4"/>
    </row>
    <row r="72" spans="1:106" x14ac:dyDescent="0.3">
      <c r="A72" s="9">
        <v>37</v>
      </c>
      <c r="B72" s="118" t="str">
        <f t="shared" si="69"/>
        <v/>
      </c>
      <c r="C72" s="119" t="str">
        <f>IF(A72&lt;=$C$19,'Fechas de pago'!B56,"")</f>
        <v/>
      </c>
      <c r="D72" s="45" t="str">
        <f t="shared" si="70"/>
        <v/>
      </c>
      <c r="E72" s="45" t="str">
        <f t="shared" si="71"/>
        <v/>
      </c>
      <c r="F72" s="45" t="str">
        <f t="shared" si="72"/>
        <v/>
      </c>
      <c r="G72" s="45" t="str">
        <f t="shared" si="73"/>
        <v/>
      </c>
      <c r="H72" s="45" t="str">
        <f t="shared" si="74"/>
        <v/>
      </c>
      <c r="I72" s="45" t="str">
        <f t="shared" si="75"/>
        <v/>
      </c>
      <c r="K72" s="5"/>
      <c r="L72" s="118" t="str">
        <f t="shared" si="64"/>
        <v/>
      </c>
      <c r="M72" s="121" t="str">
        <f t="shared" si="76"/>
        <v/>
      </c>
      <c r="N72" s="45" t="str">
        <f t="shared" si="102"/>
        <v/>
      </c>
      <c r="O72" s="45" t="str">
        <f t="shared" si="77"/>
        <v/>
      </c>
      <c r="P72" s="45" t="str">
        <f t="shared" si="78"/>
        <v/>
      </c>
      <c r="Q72" s="45" t="str">
        <f t="shared" si="79"/>
        <v/>
      </c>
      <c r="R72" s="45" t="str">
        <f t="shared" si="80"/>
        <v/>
      </c>
      <c r="S72" s="45" t="str">
        <f t="shared" si="81"/>
        <v/>
      </c>
      <c r="T72" s="5"/>
      <c r="V72" s="118" t="str">
        <f t="shared" si="21"/>
        <v/>
      </c>
      <c r="W72" s="121" t="str">
        <f t="shared" si="44"/>
        <v/>
      </c>
      <c r="X72" s="45" t="str">
        <f>IF(V72&gt;$C$19,"",IF(AND($C$10="Multianual Fraccionado",$C$9="Contado"),$C$13,IF(AND($C$10="Multianual Fraccionado",$C$9="Financiado"),$C$12,IF(AND($C$9="financiado",$C$10="Multianual Financiado"),X71-Y71,IF(OR($C$9="Externo",AND($C$9="financiado",$C$10="anual")),0,IF(AND($C$10="Multianual Financiado",$C$9="CONTADO"),0,IF(AND($C$9="CONTADO",$C$10="M13"),$C$13,0)))))))</f>
        <v/>
      </c>
      <c r="Y72" s="45" t="str">
        <f t="shared" si="82"/>
        <v/>
      </c>
      <c r="Z72" s="45" t="str">
        <f t="shared" si="83"/>
        <v/>
      </c>
      <c r="AA72" s="45">
        <f>IF(AND($C$9="financiado",$C$10="multianual financiado",V72&lt;=$C$19),-PMT($C$20/12,$C$19,$C$11),IF(AND($C$9="financiado",$C$10="anual"),0,IF(OR($C$9="promocional",$C$9="gratis",$C$9="Externo"),0,IF(AND(OR($C$10="Multianual Fraccionado",$C$10="M13"),$C$9="Contado",V72&lt;=$C$19),-PMT($C$20/12,W$29,$C$13),IF(AND($C$10="Multianual Fraccionado",$C$9="Financiado",V72&lt;=$C$19),-PMT($C$20/12,W$29,$C$12),0)))))</f>
        <v>0</v>
      </c>
      <c r="AB72" s="45" t="str">
        <f t="shared" si="84"/>
        <v/>
      </c>
      <c r="AC72" s="45" t="str">
        <f t="shared" si="85"/>
        <v/>
      </c>
      <c r="AD72" s="5"/>
      <c r="AF72" s="118" t="str">
        <f t="shared" si="26"/>
        <v/>
      </c>
      <c r="AG72" s="121" t="str">
        <f t="shared" si="46"/>
        <v/>
      </c>
      <c r="AH72" s="45" t="str">
        <f>IF(A72&lt;=$C$19,AH36,"")</f>
        <v/>
      </c>
      <c r="AI72" s="45" t="str">
        <f t="shared" si="86"/>
        <v/>
      </c>
      <c r="AJ72" s="45" t="str">
        <f t="shared" si="87"/>
        <v/>
      </c>
      <c r="AK72" s="45" t="str">
        <f t="shared" si="88"/>
        <v/>
      </c>
      <c r="AL72" s="45" t="str">
        <f t="shared" si="89"/>
        <v/>
      </c>
      <c r="AM72" s="45" t="str">
        <f t="shared" si="90"/>
        <v/>
      </c>
      <c r="AN72" s="5"/>
      <c r="AP72" s="118" t="str">
        <f t="shared" si="65"/>
        <v/>
      </c>
      <c r="AQ72" s="121" t="str">
        <f t="shared" si="91"/>
        <v/>
      </c>
      <c r="AR72" s="45" t="str">
        <f t="shared" si="103"/>
        <v/>
      </c>
      <c r="AS72" s="45" t="str">
        <f t="shared" si="92"/>
        <v/>
      </c>
      <c r="AT72" s="45" t="str">
        <f t="shared" si="93"/>
        <v/>
      </c>
      <c r="AU72" s="45" t="str">
        <f t="shared" si="94"/>
        <v/>
      </c>
      <c r="AV72" s="45" t="str">
        <f t="shared" si="95"/>
        <v/>
      </c>
      <c r="AW72" s="45" t="str">
        <f t="shared" si="96"/>
        <v/>
      </c>
      <c r="AZ72" s="118" t="str">
        <f t="shared" si="66"/>
        <v/>
      </c>
      <c r="BA72" s="121" t="str">
        <f t="shared" si="67"/>
        <v/>
      </c>
      <c r="BB72" s="45" t="str">
        <f t="shared" si="104"/>
        <v/>
      </c>
      <c r="BC72" s="45" t="str">
        <f t="shared" si="97"/>
        <v/>
      </c>
      <c r="BD72" s="45" t="str">
        <f t="shared" si="98"/>
        <v/>
      </c>
      <c r="BE72" s="45" t="str">
        <f t="shared" si="99"/>
        <v/>
      </c>
      <c r="BF72" s="45" t="str">
        <f t="shared" si="100"/>
        <v/>
      </c>
      <c r="BG72" s="45" t="str">
        <f t="shared" si="101"/>
        <v/>
      </c>
      <c r="BH72" s="5"/>
      <c r="BI72" s="122" t="str">
        <f>IF(SUM(BN72:BT72)&gt;0,SUM(BN72:BT72),"")</f>
        <v/>
      </c>
      <c r="BJ72" s="122" t="str">
        <f t="shared" si="68"/>
        <v/>
      </c>
      <c r="BK72" s="7"/>
      <c r="BM72" s="118">
        <v>38</v>
      </c>
      <c r="BN72" s="120" t="str">
        <f t="shared" si="50"/>
        <v/>
      </c>
      <c r="BO72" s="120" t="str">
        <f t="shared" si="51"/>
        <v/>
      </c>
      <c r="BP72" s="120" t="str">
        <f t="shared" si="52"/>
        <v/>
      </c>
      <c r="BQ72" s="120">
        <f t="shared" si="53"/>
        <v>0</v>
      </c>
      <c r="BR72" s="120" t="str">
        <f t="shared" si="54"/>
        <v/>
      </c>
      <c r="BS72" s="45"/>
      <c r="BT72" s="120">
        <f>IF(AND($C$9="Externo",BM72&lt;=$C$19),$D$11,0)</f>
        <v>0</v>
      </c>
      <c r="CC72" s="6"/>
      <c r="CD72" s="54"/>
      <c r="CE72" s="55"/>
      <c r="CF72" s="55"/>
      <c r="CG72" s="55"/>
      <c r="CH72" s="55"/>
      <c r="CI72" s="55"/>
      <c r="CJ72" s="55"/>
      <c r="DB72" s="4"/>
    </row>
    <row r="73" spans="1:106" x14ac:dyDescent="0.3">
      <c r="A73" s="9">
        <v>38</v>
      </c>
      <c r="B73" s="6" t="str">
        <f t="shared" si="69"/>
        <v/>
      </c>
      <c r="C73" s="46" t="str">
        <f>IF(A73&lt;=$C$19,'Fechas de pago'!B57,"")</f>
        <v/>
      </c>
      <c r="D73" s="4" t="str">
        <f t="shared" si="70"/>
        <v/>
      </c>
      <c r="E73" s="4" t="str">
        <f t="shared" si="71"/>
        <v/>
      </c>
      <c r="F73" s="4" t="str">
        <f t="shared" si="72"/>
        <v/>
      </c>
      <c r="G73" s="4" t="str">
        <f t="shared" si="73"/>
        <v/>
      </c>
      <c r="H73" s="4" t="str">
        <f t="shared" si="74"/>
        <v/>
      </c>
      <c r="I73" s="4" t="str">
        <f t="shared" si="75"/>
        <v/>
      </c>
      <c r="K73" s="5"/>
      <c r="L73" s="6" t="str">
        <f t="shared" si="64"/>
        <v/>
      </c>
      <c r="M73" s="10" t="str">
        <f t="shared" si="76"/>
        <v/>
      </c>
      <c r="N73" s="4" t="str">
        <f t="shared" si="102"/>
        <v/>
      </c>
      <c r="O73" s="4" t="str">
        <f t="shared" si="77"/>
        <v/>
      </c>
      <c r="P73" s="4" t="str">
        <f t="shared" si="78"/>
        <v/>
      </c>
      <c r="Q73" s="4" t="str">
        <f t="shared" si="79"/>
        <v/>
      </c>
      <c r="R73" s="4" t="str">
        <f t="shared" si="80"/>
        <v/>
      </c>
      <c r="S73" s="4" t="str">
        <f t="shared" si="81"/>
        <v/>
      </c>
      <c r="T73" s="5"/>
      <c r="V73" s="6" t="str">
        <f t="shared" si="21"/>
        <v/>
      </c>
      <c r="W73" s="10" t="str">
        <f t="shared" si="44"/>
        <v/>
      </c>
      <c r="X73" s="4" t="str">
        <f t="shared" ref="X73:X83" si="105">IF(A73&lt;=$C$19,X72-Y72,"")</f>
        <v/>
      </c>
      <c r="Y73" s="4" t="str">
        <f t="shared" si="82"/>
        <v/>
      </c>
      <c r="Z73" s="4" t="str">
        <f t="shared" si="83"/>
        <v/>
      </c>
      <c r="AA73" s="4">
        <f t="shared" ref="AA73:AA83" si="106">IF(AND($C$9="financiado",$C$10="multianual financiado",V73&lt;=$C$19),-PMT($C$20/12,$C$19,$C$11),IF(AND($C$9="financiado",$C$10="anual"),0,IF(OR($C$9="promocional",$C$9="gratis",$C$9="Externo"),0,IF(AND(OR($C$10="Multianual Fraccionado",$C$10="M13"),$C$9="Contado",V73&lt;=$C$19),-PMT($C$20/12,W$29,$C$13),IF(AND($C$10="Multianual Fraccionado",$C$9="Financiado",V73&lt;=$C$19),-PMT($C$20/12,W$29,$C$12),0)))))</f>
        <v>0</v>
      </c>
      <c r="AB73" s="4" t="str">
        <f t="shared" si="84"/>
        <v/>
      </c>
      <c r="AC73" s="4" t="str">
        <f t="shared" si="85"/>
        <v/>
      </c>
      <c r="AD73" s="5"/>
      <c r="AF73" s="6" t="str">
        <f t="shared" si="26"/>
        <v/>
      </c>
      <c r="AG73" s="10" t="str">
        <f t="shared" si="46"/>
        <v/>
      </c>
      <c r="AH73" s="4" t="str">
        <f t="shared" ref="AH73:AH83" si="107">IF(A73&lt;=$C$19,AH72-AI72,"")</f>
        <v/>
      </c>
      <c r="AI73" s="4" t="str">
        <f t="shared" si="86"/>
        <v/>
      </c>
      <c r="AJ73" s="4" t="str">
        <f t="shared" si="87"/>
        <v/>
      </c>
      <c r="AK73" s="4" t="str">
        <f t="shared" si="88"/>
        <v/>
      </c>
      <c r="AL73" s="4" t="str">
        <f t="shared" si="89"/>
        <v/>
      </c>
      <c r="AM73" s="4" t="str">
        <f t="shared" si="90"/>
        <v/>
      </c>
      <c r="AN73" s="5"/>
      <c r="AP73" s="6" t="str">
        <f t="shared" si="65"/>
        <v/>
      </c>
      <c r="AQ73" s="10" t="str">
        <f t="shared" si="91"/>
        <v/>
      </c>
      <c r="AR73" s="4" t="str">
        <f t="shared" si="103"/>
        <v/>
      </c>
      <c r="AS73" s="4" t="str">
        <f t="shared" si="92"/>
        <v/>
      </c>
      <c r="AT73" s="4" t="str">
        <f t="shared" si="93"/>
        <v/>
      </c>
      <c r="AU73" s="4" t="str">
        <f t="shared" si="94"/>
        <v/>
      </c>
      <c r="AV73" s="4" t="str">
        <f t="shared" si="95"/>
        <v/>
      </c>
      <c r="AW73" s="4" t="str">
        <f t="shared" si="96"/>
        <v/>
      </c>
      <c r="AZ73" s="6" t="str">
        <f t="shared" si="66"/>
        <v/>
      </c>
      <c r="BA73" s="10" t="str">
        <f t="shared" si="67"/>
        <v/>
      </c>
      <c r="BB73" s="4" t="str">
        <f t="shared" si="104"/>
        <v/>
      </c>
      <c r="BC73" s="4" t="str">
        <f t="shared" si="97"/>
        <v/>
      </c>
      <c r="BD73" s="4" t="str">
        <f t="shared" si="98"/>
        <v/>
      </c>
      <c r="BE73" s="4" t="str">
        <f t="shared" si="99"/>
        <v/>
      </c>
      <c r="BF73" s="4" t="str">
        <f t="shared" si="100"/>
        <v/>
      </c>
      <c r="BG73" s="4" t="str">
        <f t="shared" si="101"/>
        <v/>
      </c>
      <c r="BH73" s="5"/>
      <c r="BI73" s="7" t="str">
        <f t="shared" si="60"/>
        <v/>
      </c>
      <c r="BJ73" s="7" t="str">
        <f t="shared" si="68"/>
        <v/>
      </c>
      <c r="BK73" s="7"/>
      <c r="BM73" s="6">
        <v>39</v>
      </c>
      <c r="BN73" s="5" t="str">
        <f t="shared" si="50"/>
        <v/>
      </c>
      <c r="BO73" s="5" t="str">
        <f t="shared" si="51"/>
        <v/>
      </c>
      <c r="BP73" s="5" t="str">
        <f t="shared" si="52"/>
        <v/>
      </c>
      <c r="BQ73" s="5">
        <f t="shared" si="53"/>
        <v>0</v>
      </c>
      <c r="BR73" s="5" t="str">
        <f t="shared" si="54"/>
        <v/>
      </c>
      <c r="CC73" s="6"/>
      <c r="CD73" s="54"/>
      <c r="CE73" s="55"/>
      <c r="CF73" s="55"/>
      <c r="CG73" s="55"/>
      <c r="CH73" s="55"/>
      <c r="CI73" s="55"/>
      <c r="CJ73" s="55"/>
      <c r="DB73" s="4"/>
    </row>
    <row r="74" spans="1:106" x14ac:dyDescent="0.3">
      <c r="A74" s="9">
        <v>39</v>
      </c>
      <c r="B74" s="6" t="str">
        <f t="shared" si="69"/>
        <v/>
      </c>
      <c r="C74" s="46" t="str">
        <f>IF(A74&lt;=$C$19,'Fechas de pago'!B58,"")</f>
        <v/>
      </c>
      <c r="D74" s="4" t="str">
        <f t="shared" si="70"/>
        <v/>
      </c>
      <c r="E74" s="4" t="str">
        <f t="shared" si="71"/>
        <v/>
      </c>
      <c r="F74" s="4" t="str">
        <f t="shared" si="72"/>
        <v/>
      </c>
      <c r="G74" s="4" t="str">
        <f t="shared" si="73"/>
        <v/>
      </c>
      <c r="H74" s="4" t="str">
        <f t="shared" si="74"/>
        <v/>
      </c>
      <c r="I74" s="4" t="str">
        <f t="shared" si="75"/>
        <v/>
      </c>
      <c r="K74" s="5"/>
      <c r="L74" s="6" t="str">
        <f t="shared" si="64"/>
        <v/>
      </c>
      <c r="M74" s="10" t="str">
        <f t="shared" si="76"/>
        <v/>
      </c>
      <c r="N74" s="4" t="str">
        <f t="shared" si="102"/>
        <v/>
      </c>
      <c r="O74" s="4" t="str">
        <f t="shared" si="77"/>
        <v/>
      </c>
      <c r="P74" s="4" t="str">
        <f t="shared" si="78"/>
        <v/>
      </c>
      <c r="Q74" s="4" t="str">
        <f t="shared" si="79"/>
        <v/>
      </c>
      <c r="R74" s="4" t="str">
        <f t="shared" si="80"/>
        <v/>
      </c>
      <c r="S74" s="4" t="str">
        <f t="shared" si="81"/>
        <v/>
      </c>
      <c r="T74" s="5"/>
      <c r="V74" s="6" t="str">
        <f t="shared" si="21"/>
        <v/>
      </c>
      <c r="W74" s="10" t="str">
        <f t="shared" si="44"/>
        <v/>
      </c>
      <c r="X74" s="4" t="str">
        <f t="shared" si="105"/>
        <v/>
      </c>
      <c r="Y74" s="4" t="str">
        <f t="shared" si="82"/>
        <v/>
      </c>
      <c r="Z74" s="4" t="str">
        <f t="shared" si="83"/>
        <v/>
      </c>
      <c r="AA74" s="4">
        <f t="shared" si="106"/>
        <v>0</v>
      </c>
      <c r="AB74" s="4" t="str">
        <f t="shared" si="84"/>
        <v/>
      </c>
      <c r="AC74" s="4" t="str">
        <f t="shared" si="85"/>
        <v/>
      </c>
      <c r="AD74" s="5"/>
      <c r="AF74" s="6" t="str">
        <f t="shared" si="26"/>
        <v/>
      </c>
      <c r="AG74" s="10" t="str">
        <f t="shared" si="46"/>
        <v/>
      </c>
      <c r="AH74" s="4" t="str">
        <f t="shared" si="107"/>
        <v/>
      </c>
      <c r="AI74" s="4" t="str">
        <f t="shared" si="86"/>
        <v/>
      </c>
      <c r="AJ74" s="4" t="str">
        <f t="shared" si="87"/>
        <v/>
      </c>
      <c r="AK74" s="4" t="str">
        <f t="shared" si="88"/>
        <v/>
      </c>
      <c r="AL74" s="4" t="str">
        <f t="shared" si="89"/>
        <v/>
      </c>
      <c r="AM74" s="4" t="str">
        <f t="shared" si="90"/>
        <v/>
      </c>
      <c r="AN74" s="5"/>
      <c r="AP74" s="6" t="str">
        <f t="shared" si="65"/>
        <v/>
      </c>
      <c r="AQ74" s="10" t="str">
        <f t="shared" si="91"/>
        <v/>
      </c>
      <c r="AR74" s="4" t="str">
        <f t="shared" si="103"/>
        <v/>
      </c>
      <c r="AS74" s="4" t="str">
        <f t="shared" si="92"/>
        <v/>
      </c>
      <c r="AT74" s="4" t="str">
        <f t="shared" si="93"/>
        <v/>
      </c>
      <c r="AU74" s="4" t="str">
        <f t="shared" si="94"/>
        <v/>
      </c>
      <c r="AV74" s="4" t="str">
        <f t="shared" si="95"/>
        <v/>
      </c>
      <c r="AW74" s="4" t="str">
        <f t="shared" si="96"/>
        <v/>
      </c>
      <c r="AZ74" s="6" t="str">
        <f t="shared" si="66"/>
        <v/>
      </c>
      <c r="BA74" s="10" t="str">
        <f t="shared" si="67"/>
        <v/>
      </c>
      <c r="BB74" s="4" t="str">
        <f t="shared" si="104"/>
        <v/>
      </c>
      <c r="BC74" s="4" t="str">
        <f t="shared" si="97"/>
        <v/>
      </c>
      <c r="BD74" s="4" t="str">
        <f t="shared" si="98"/>
        <v/>
      </c>
      <c r="BE74" s="4" t="str">
        <f t="shared" si="99"/>
        <v/>
      </c>
      <c r="BF74" s="4" t="str">
        <f t="shared" si="100"/>
        <v/>
      </c>
      <c r="BG74" s="4" t="str">
        <f t="shared" si="101"/>
        <v/>
      </c>
      <c r="BH74" s="5"/>
      <c r="BI74" s="7" t="str">
        <f t="shared" si="60"/>
        <v/>
      </c>
      <c r="BJ74" s="7" t="str">
        <f t="shared" si="68"/>
        <v/>
      </c>
      <c r="BK74" s="7"/>
      <c r="BM74" s="6">
        <v>40</v>
      </c>
      <c r="BN74" s="5" t="str">
        <f t="shared" si="50"/>
        <v/>
      </c>
      <c r="BO74" s="5" t="str">
        <f t="shared" si="51"/>
        <v/>
      </c>
      <c r="BP74" s="5" t="str">
        <f t="shared" si="52"/>
        <v/>
      </c>
      <c r="BQ74" s="5">
        <f t="shared" si="53"/>
        <v>0</v>
      </c>
      <c r="BR74" s="5" t="str">
        <f t="shared" si="54"/>
        <v/>
      </c>
      <c r="CC74" s="6"/>
      <c r="CD74" s="54"/>
      <c r="CE74" s="55"/>
      <c r="CF74" s="55"/>
      <c r="CG74" s="55"/>
      <c r="CH74" s="55"/>
      <c r="CI74" s="55"/>
      <c r="CJ74" s="55"/>
      <c r="DB74" s="4"/>
    </row>
    <row r="75" spans="1:106" x14ac:dyDescent="0.3">
      <c r="A75" s="9">
        <v>40</v>
      </c>
      <c r="B75" s="6" t="str">
        <f t="shared" si="69"/>
        <v/>
      </c>
      <c r="C75" s="46" t="str">
        <f>IF(A75&lt;=$C$19,'Fechas de pago'!B59,"")</f>
        <v/>
      </c>
      <c r="D75" s="4" t="str">
        <f t="shared" si="70"/>
        <v/>
      </c>
      <c r="E75" s="4" t="str">
        <f t="shared" si="71"/>
        <v/>
      </c>
      <c r="F75" s="4" t="str">
        <f t="shared" si="72"/>
        <v/>
      </c>
      <c r="G75" s="4" t="str">
        <f t="shared" si="73"/>
        <v/>
      </c>
      <c r="H75" s="4" t="str">
        <f t="shared" si="74"/>
        <v/>
      </c>
      <c r="I75" s="4" t="str">
        <f t="shared" si="75"/>
        <v/>
      </c>
      <c r="K75" s="5"/>
      <c r="L75" s="6" t="str">
        <f t="shared" si="64"/>
        <v/>
      </c>
      <c r="M75" s="10" t="str">
        <f t="shared" si="76"/>
        <v/>
      </c>
      <c r="N75" s="4" t="str">
        <f t="shared" si="102"/>
        <v/>
      </c>
      <c r="O75" s="4" t="str">
        <f t="shared" si="77"/>
        <v/>
      </c>
      <c r="P75" s="4" t="str">
        <f t="shared" si="78"/>
        <v/>
      </c>
      <c r="Q75" s="4" t="str">
        <f t="shared" si="79"/>
        <v/>
      </c>
      <c r="R75" s="4" t="str">
        <f t="shared" si="80"/>
        <v/>
      </c>
      <c r="S75" s="4" t="str">
        <f t="shared" si="81"/>
        <v/>
      </c>
      <c r="T75" s="5"/>
      <c r="V75" s="6" t="str">
        <f t="shared" si="21"/>
        <v/>
      </c>
      <c r="W75" s="10" t="str">
        <f t="shared" si="44"/>
        <v/>
      </c>
      <c r="X75" s="4" t="str">
        <f t="shared" si="105"/>
        <v/>
      </c>
      <c r="Y75" s="4" t="str">
        <f t="shared" si="82"/>
        <v/>
      </c>
      <c r="Z75" s="4" t="str">
        <f t="shared" si="83"/>
        <v/>
      </c>
      <c r="AA75" s="4">
        <f t="shared" si="106"/>
        <v>0</v>
      </c>
      <c r="AB75" s="4" t="str">
        <f t="shared" si="84"/>
        <v/>
      </c>
      <c r="AC75" s="4" t="str">
        <f t="shared" si="85"/>
        <v/>
      </c>
      <c r="AD75" s="5"/>
      <c r="AF75" s="6" t="str">
        <f t="shared" si="26"/>
        <v/>
      </c>
      <c r="AG75" s="10" t="str">
        <f t="shared" si="46"/>
        <v/>
      </c>
      <c r="AH75" s="4" t="str">
        <f t="shared" si="107"/>
        <v/>
      </c>
      <c r="AI75" s="4" t="str">
        <f t="shared" si="86"/>
        <v/>
      </c>
      <c r="AJ75" s="4" t="str">
        <f t="shared" si="87"/>
        <v/>
      </c>
      <c r="AK75" s="4" t="str">
        <f t="shared" si="88"/>
        <v/>
      </c>
      <c r="AL75" s="4" t="str">
        <f t="shared" si="89"/>
        <v/>
      </c>
      <c r="AM75" s="4" t="str">
        <f t="shared" si="90"/>
        <v/>
      </c>
      <c r="AN75" s="5"/>
      <c r="AP75" s="6" t="str">
        <f t="shared" si="65"/>
        <v/>
      </c>
      <c r="AQ75" s="10" t="str">
        <f t="shared" si="91"/>
        <v/>
      </c>
      <c r="AR75" s="4" t="str">
        <f t="shared" si="103"/>
        <v/>
      </c>
      <c r="AS75" s="4" t="str">
        <f t="shared" si="92"/>
        <v/>
      </c>
      <c r="AT75" s="4" t="str">
        <f t="shared" si="93"/>
        <v/>
      </c>
      <c r="AU75" s="4" t="str">
        <f t="shared" si="94"/>
        <v/>
      </c>
      <c r="AV75" s="4" t="str">
        <f t="shared" si="95"/>
        <v/>
      </c>
      <c r="AW75" s="4" t="str">
        <f t="shared" si="96"/>
        <v/>
      </c>
      <c r="AZ75" s="6" t="str">
        <f t="shared" si="66"/>
        <v/>
      </c>
      <c r="BA75" s="10" t="str">
        <f t="shared" si="67"/>
        <v/>
      </c>
      <c r="BB75" s="4" t="str">
        <f t="shared" si="104"/>
        <v/>
      </c>
      <c r="BC75" s="4" t="str">
        <f t="shared" si="97"/>
        <v/>
      </c>
      <c r="BD75" s="4" t="str">
        <f t="shared" si="98"/>
        <v/>
      </c>
      <c r="BE75" s="4" t="str">
        <f t="shared" si="99"/>
        <v/>
      </c>
      <c r="BF75" s="4" t="str">
        <f t="shared" si="100"/>
        <v/>
      </c>
      <c r="BG75" s="4" t="str">
        <f t="shared" si="101"/>
        <v/>
      </c>
      <c r="BH75" s="5"/>
      <c r="BI75" s="7" t="str">
        <f t="shared" si="60"/>
        <v/>
      </c>
      <c r="BJ75" s="7" t="str">
        <f t="shared" si="68"/>
        <v/>
      </c>
      <c r="BK75" s="7"/>
      <c r="BM75" s="6">
        <v>41</v>
      </c>
      <c r="BN75" s="5" t="str">
        <f t="shared" si="50"/>
        <v/>
      </c>
      <c r="BO75" s="5" t="str">
        <f t="shared" si="51"/>
        <v/>
      </c>
      <c r="BP75" s="5" t="str">
        <f t="shared" si="52"/>
        <v/>
      </c>
      <c r="BQ75" s="5">
        <f t="shared" si="53"/>
        <v>0</v>
      </c>
      <c r="BR75" s="5" t="str">
        <f t="shared" si="54"/>
        <v/>
      </c>
      <c r="CC75" s="6"/>
      <c r="CD75" s="54"/>
      <c r="CE75" s="55"/>
      <c r="CF75" s="55"/>
      <c r="CG75" s="55"/>
      <c r="CH75" s="55"/>
      <c r="CI75" s="55"/>
      <c r="CJ75" s="55"/>
      <c r="DB75" s="4"/>
    </row>
    <row r="76" spans="1:106" x14ac:dyDescent="0.3">
      <c r="A76" s="9">
        <v>41</v>
      </c>
      <c r="B76" s="6" t="str">
        <f t="shared" si="69"/>
        <v/>
      </c>
      <c r="C76" s="46" t="str">
        <f>IF(A76&lt;=$C$19,'Fechas de pago'!B60,"")</f>
        <v/>
      </c>
      <c r="D76" s="4" t="str">
        <f t="shared" si="70"/>
        <v/>
      </c>
      <c r="E76" s="4" t="str">
        <f t="shared" si="71"/>
        <v/>
      </c>
      <c r="F76" s="4" t="str">
        <f t="shared" si="72"/>
        <v/>
      </c>
      <c r="G76" s="4" t="str">
        <f t="shared" si="73"/>
        <v/>
      </c>
      <c r="H76" s="4" t="str">
        <f t="shared" si="74"/>
        <v/>
      </c>
      <c r="I76" s="4" t="str">
        <f t="shared" si="75"/>
        <v/>
      </c>
      <c r="K76" s="5"/>
      <c r="L76" s="6" t="str">
        <f t="shared" si="64"/>
        <v/>
      </c>
      <c r="M76" s="10" t="str">
        <f t="shared" si="76"/>
        <v/>
      </c>
      <c r="N76" s="4" t="str">
        <f t="shared" si="102"/>
        <v/>
      </c>
      <c r="O76" s="4" t="str">
        <f t="shared" si="77"/>
        <v/>
      </c>
      <c r="P76" s="4" t="str">
        <f t="shared" si="78"/>
        <v/>
      </c>
      <c r="Q76" s="4" t="str">
        <f t="shared" si="79"/>
        <v/>
      </c>
      <c r="R76" s="4" t="str">
        <f t="shared" si="80"/>
        <v/>
      </c>
      <c r="S76" s="4" t="str">
        <f t="shared" si="81"/>
        <v/>
      </c>
      <c r="T76" s="5"/>
      <c r="V76" s="6" t="str">
        <f t="shared" si="21"/>
        <v/>
      </c>
      <c r="W76" s="10" t="str">
        <f t="shared" si="44"/>
        <v/>
      </c>
      <c r="X76" s="4" t="str">
        <f t="shared" si="105"/>
        <v/>
      </c>
      <c r="Y76" s="4" t="str">
        <f t="shared" si="82"/>
        <v/>
      </c>
      <c r="Z76" s="4" t="str">
        <f t="shared" si="83"/>
        <v/>
      </c>
      <c r="AA76" s="4">
        <f t="shared" si="106"/>
        <v>0</v>
      </c>
      <c r="AB76" s="4" t="str">
        <f t="shared" si="84"/>
        <v/>
      </c>
      <c r="AC76" s="4" t="str">
        <f t="shared" si="85"/>
        <v/>
      </c>
      <c r="AD76" s="5"/>
      <c r="AF76" s="6" t="str">
        <f t="shared" si="26"/>
        <v/>
      </c>
      <c r="AG76" s="10" t="str">
        <f t="shared" si="46"/>
        <v/>
      </c>
      <c r="AH76" s="4" t="str">
        <f t="shared" si="107"/>
        <v/>
      </c>
      <c r="AI76" s="4" t="str">
        <f t="shared" si="86"/>
        <v/>
      </c>
      <c r="AJ76" s="4" t="str">
        <f t="shared" si="87"/>
        <v/>
      </c>
      <c r="AK76" s="4" t="str">
        <f t="shared" si="88"/>
        <v/>
      </c>
      <c r="AL76" s="4" t="str">
        <f t="shared" si="89"/>
        <v/>
      </c>
      <c r="AM76" s="4" t="str">
        <f t="shared" si="90"/>
        <v/>
      </c>
      <c r="AN76" s="5"/>
      <c r="AP76" s="6" t="str">
        <f t="shared" si="65"/>
        <v/>
      </c>
      <c r="AQ76" s="10" t="str">
        <f t="shared" si="91"/>
        <v/>
      </c>
      <c r="AR76" s="4" t="str">
        <f t="shared" si="103"/>
        <v/>
      </c>
      <c r="AS76" s="4" t="str">
        <f t="shared" si="92"/>
        <v/>
      </c>
      <c r="AT76" s="4" t="str">
        <f t="shared" si="93"/>
        <v/>
      </c>
      <c r="AU76" s="4" t="str">
        <f t="shared" si="94"/>
        <v/>
      </c>
      <c r="AV76" s="4" t="str">
        <f t="shared" si="95"/>
        <v/>
      </c>
      <c r="AW76" s="4" t="str">
        <f t="shared" si="96"/>
        <v/>
      </c>
      <c r="AZ76" s="6" t="str">
        <f t="shared" si="66"/>
        <v/>
      </c>
      <c r="BA76" s="10" t="str">
        <f t="shared" si="67"/>
        <v/>
      </c>
      <c r="BB76" s="4" t="str">
        <f t="shared" si="104"/>
        <v/>
      </c>
      <c r="BC76" s="4" t="str">
        <f t="shared" si="97"/>
        <v/>
      </c>
      <c r="BD76" s="4" t="str">
        <f t="shared" si="98"/>
        <v/>
      </c>
      <c r="BE76" s="4" t="str">
        <f t="shared" si="99"/>
        <v/>
      </c>
      <c r="BF76" s="4" t="str">
        <f t="shared" si="100"/>
        <v/>
      </c>
      <c r="BG76" s="4" t="str">
        <f t="shared" si="101"/>
        <v/>
      </c>
      <c r="BH76" s="5"/>
      <c r="BI76" s="7" t="str">
        <f t="shared" si="60"/>
        <v/>
      </c>
      <c r="BJ76" s="7" t="str">
        <f t="shared" si="68"/>
        <v/>
      </c>
      <c r="BK76" s="7"/>
      <c r="BM76" s="6">
        <v>42</v>
      </c>
      <c r="BN76" s="5" t="str">
        <f t="shared" si="50"/>
        <v/>
      </c>
      <c r="BO76" s="5" t="str">
        <f t="shared" si="51"/>
        <v/>
      </c>
      <c r="BP76" s="5" t="str">
        <f t="shared" si="52"/>
        <v/>
      </c>
      <c r="BQ76" s="5">
        <f t="shared" si="53"/>
        <v>0</v>
      </c>
      <c r="BR76" s="5" t="str">
        <f t="shared" si="54"/>
        <v/>
      </c>
      <c r="CC76" s="6"/>
      <c r="CD76" s="54"/>
      <c r="CE76" s="55"/>
      <c r="CF76" s="55"/>
      <c r="CG76" s="55"/>
      <c r="CH76" s="55"/>
      <c r="CI76" s="55"/>
      <c r="CJ76" s="55"/>
      <c r="DB76" s="4"/>
    </row>
    <row r="77" spans="1:106" x14ac:dyDescent="0.3">
      <c r="A77" s="9">
        <v>42</v>
      </c>
      <c r="B77" s="6" t="str">
        <f t="shared" si="69"/>
        <v/>
      </c>
      <c r="C77" s="46" t="str">
        <f>IF(A77&lt;=$C$19,'Fechas de pago'!B61,"")</f>
        <v/>
      </c>
      <c r="D77" s="4" t="str">
        <f t="shared" si="70"/>
        <v/>
      </c>
      <c r="E77" s="4" t="str">
        <f t="shared" si="71"/>
        <v/>
      </c>
      <c r="F77" s="4" t="str">
        <f t="shared" si="72"/>
        <v/>
      </c>
      <c r="G77" s="4" t="str">
        <f t="shared" si="73"/>
        <v/>
      </c>
      <c r="H77" s="4" t="str">
        <f t="shared" si="74"/>
        <v/>
      </c>
      <c r="I77" s="4" t="str">
        <f t="shared" si="75"/>
        <v/>
      </c>
      <c r="K77" s="5"/>
      <c r="L77" s="6" t="str">
        <f t="shared" si="64"/>
        <v/>
      </c>
      <c r="M77" s="10" t="str">
        <f t="shared" si="76"/>
        <v/>
      </c>
      <c r="N77" s="4" t="str">
        <f t="shared" si="102"/>
        <v/>
      </c>
      <c r="O77" s="4" t="str">
        <f t="shared" si="77"/>
        <v/>
      </c>
      <c r="P77" s="4" t="str">
        <f t="shared" si="78"/>
        <v/>
      </c>
      <c r="Q77" s="4" t="str">
        <f t="shared" si="79"/>
        <v/>
      </c>
      <c r="R77" s="4" t="str">
        <f t="shared" si="80"/>
        <v/>
      </c>
      <c r="S77" s="4" t="str">
        <f t="shared" si="81"/>
        <v/>
      </c>
      <c r="T77" s="5"/>
      <c r="V77" s="6" t="str">
        <f t="shared" si="21"/>
        <v/>
      </c>
      <c r="W77" s="10" t="str">
        <f t="shared" si="44"/>
        <v/>
      </c>
      <c r="X77" s="4" t="str">
        <f t="shared" si="105"/>
        <v/>
      </c>
      <c r="Y77" s="4" t="str">
        <f t="shared" si="82"/>
        <v/>
      </c>
      <c r="Z77" s="4" t="str">
        <f t="shared" si="83"/>
        <v/>
      </c>
      <c r="AA77" s="4">
        <f t="shared" si="106"/>
        <v>0</v>
      </c>
      <c r="AB77" s="4" t="str">
        <f t="shared" si="84"/>
        <v/>
      </c>
      <c r="AC77" s="4" t="str">
        <f t="shared" si="85"/>
        <v/>
      </c>
      <c r="AD77" s="5"/>
      <c r="AF77" s="6" t="str">
        <f t="shared" si="26"/>
        <v/>
      </c>
      <c r="AG77" s="10" t="str">
        <f t="shared" si="46"/>
        <v/>
      </c>
      <c r="AH77" s="4" t="str">
        <f t="shared" si="107"/>
        <v/>
      </c>
      <c r="AI77" s="4" t="str">
        <f t="shared" si="86"/>
        <v/>
      </c>
      <c r="AJ77" s="4" t="str">
        <f t="shared" si="87"/>
        <v/>
      </c>
      <c r="AK77" s="4" t="str">
        <f t="shared" si="88"/>
        <v/>
      </c>
      <c r="AL77" s="4" t="str">
        <f t="shared" si="89"/>
        <v/>
      </c>
      <c r="AM77" s="4" t="str">
        <f t="shared" si="90"/>
        <v/>
      </c>
      <c r="AN77" s="5"/>
      <c r="AP77" s="6" t="str">
        <f t="shared" si="65"/>
        <v/>
      </c>
      <c r="AQ77" s="10" t="str">
        <f t="shared" si="91"/>
        <v/>
      </c>
      <c r="AR77" s="4" t="str">
        <f t="shared" si="103"/>
        <v/>
      </c>
      <c r="AS77" s="4" t="str">
        <f t="shared" si="92"/>
        <v/>
      </c>
      <c r="AT77" s="4" t="str">
        <f t="shared" si="93"/>
        <v/>
      </c>
      <c r="AU77" s="4" t="str">
        <f t="shared" si="94"/>
        <v/>
      </c>
      <c r="AV77" s="4" t="str">
        <f t="shared" si="95"/>
        <v/>
      </c>
      <c r="AW77" s="4" t="str">
        <f t="shared" si="96"/>
        <v/>
      </c>
      <c r="AZ77" s="6" t="str">
        <f t="shared" si="66"/>
        <v/>
      </c>
      <c r="BA77" s="10" t="str">
        <f t="shared" si="67"/>
        <v/>
      </c>
      <c r="BB77" s="4" t="str">
        <f t="shared" si="104"/>
        <v/>
      </c>
      <c r="BC77" s="4" t="str">
        <f t="shared" si="97"/>
        <v/>
      </c>
      <c r="BD77" s="4" t="str">
        <f t="shared" si="98"/>
        <v/>
      </c>
      <c r="BE77" s="4" t="str">
        <f t="shared" si="99"/>
        <v/>
      </c>
      <c r="BF77" s="4" t="str">
        <f t="shared" si="100"/>
        <v/>
      </c>
      <c r="BG77" s="4" t="str">
        <f t="shared" si="101"/>
        <v/>
      </c>
      <c r="BH77" s="5"/>
      <c r="BI77" s="7" t="str">
        <f t="shared" si="60"/>
        <v/>
      </c>
      <c r="BJ77" s="7" t="str">
        <f t="shared" si="68"/>
        <v/>
      </c>
      <c r="BK77" s="7"/>
      <c r="BM77" s="6">
        <v>43</v>
      </c>
      <c r="BN77" s="5" t="str">
        <f t="shared" si="50"/>
        <v/>
      </c>
      <c r="BO77" s="5" t="str">
        <f t="shared" si="51"/>
        <v/>
      </c>
      <c r="BP77" s="5" t="str">
        <f t="shared" si="52"/>
        <v/>
      </c>
      <c r="BQ77" s="5">
        <f t="shared" si="53"/>
        <v>0</v>
      </c>
      <c r="BR77" s="5" t="str">
        <f t="shared" si="54"/>
        <v/>
      </c>
      <c r="CC77" s="6"/>
      <c r="CD77" s="54"/>
      <c r="CE77" s="55"/>
      <c r="CF77" s="55"/>
      <c r="CG77" s="55"/>
      <c r="CH77" s="55"/>
      <c r="CI77" s="55"/>
      <c r="CJ77" s="55"/>
      <c r="DB77" s="4"/>
    </row>
    <row r="78" spans="1:106" x14ac:dyDescent="0.3">
      <c r="A78" s="9">
        <v>43</v>
      </c>
      <c r="B78" s="6" t="str">
        <f t="shared" si="69"/>
        <v/>
      </c>
      <c r="C78" s="46" t="str">
        <f>IF(A78&lt;=$C$19,'Fechas de pago'!B62,"")</f>
        <v/>
      </c>
      <c r="D78" s="4" t="str">
        <f t="shared" si="70"/>
        <v/>
      </c>
      <c r="E78" s="4" t="str">
        <f t="shared" si="71"/>
        <v/>
      </c>
      <c r="F78" s="4" t="str">
        <f t="shared" si="72"/>
        <v/>
      </c>
      <c r="G78" s="4" t="str">
        <f t="shared" si="73"/>
        <v/>
      </c>
      <c r="H78" s="4" t="str">
        <f t="shared" si="74"/>
        <v/>
      </c>
      <c r="I78" s="4" t="str">
        <f t="shared" si="75"/>
        <v/>
      </c>
      <c r="K78" s="5"/>
      <c r="L78" s="6" t="str">
        <f t="shared" si="64"/>
        <v/>
      </c>
      <c r="M78" s="10" t="str">
        <f t="shared" si="76"/>
        <v/>
      </c>
      <c r="N78" s="4" t="str">
        <f t="shared" si="102"/>
        <v/>
      </c>
      <c r="O78" s="4" t="str">
        <f t="shared" si="77"/>
        <v/>
      </c>
      <c r="P78" s="4" t="str">
        <f t="shared" si="78"/>
        <v/>
      </c>
      <c r="Q78" s="4" t="str">
        <f t="shared" si="79"/>
        <v/>
      </c>
      <c r="R78" s="4" t="str">
        <f t="shared" si="80"/>
        <v/>
      </c>
      <c r="S78" s="4" t="str">
        <f t="shared" si="81"/>
        <v/>
      </c>
      <c r="T78" s="5"/>
      <c r="V78" s="6" t="str">
        <f t="shared" si="21"/>
        <v/>
      </c>
      <c r="W78" s="10" t="str">
        <f t="shared" si="44"/>
        <v/>
      </c>
      <c r="X78" s="4" t="str">
        <f t="shared" si="105"/>
        <v/>
      </c>
      <c r="Y78" s="4" t="str">
        <f t="shared" si="82"/>
        <v/>
      </c>
      <c r="Z78" s="4" t="str">
        <f t="shared" si="83"/>
        <v/>
      </c>
      <c r="AA78" s="4">
        <f t="shared" si="106"/>
        <v>0</v>
      </c>
      <c r="AB78" s="4" t="str">
        <f t="shared" si="84"/>
        <v/>
      </c>
      <c r="AC78" s="4" t="str">
        <f t="shared" si="85"/>
        <v/>
      </c>
      <c r="AD78" s="5"/>
      <c r="AF78" s="6" t="str">
        <f t="shared" si="26"/>
        <v/>
      </c>
      <c r="AG78" s="10" t="str">
        <f t="shared" si="46"/>
        <v/>
      </c>
      <c r="AH78" s="4" t="str">
        <f t="shared" si="107"/>
        <v/>
      </c>
      <c r="AI78" s="4" t="str">
        <f t="shared" si="86"/>
        <v/>
      </c>
      <c r="AJ78" s="4" t="str">
        <f t="shared" si="87"/>
        <v/>
      </c>
      <c r="AK78" s="4" t="str">
        <f t="shared" si="88"/>
        <v/>
      </c>
      <c r="AL78" s="4" t="str">
        <f t="shared" si="89"/>
        <v/>
      </c>
      <c r="AM78" s="4" t="str">
        <f t="shared" si="90"/>
        <v/>
      </c>
      <c r="AN78" s="5"/>
      <c r="AP78" s="6" t="str">
        <f t="shared" si="65"/>
        <v/>
      </c>
      <c r="AQ78" s="10" t="str">
        <f t="shared" si="91"/>
        <v/>
      </c>
      <c r="AR78" s="4" t="str">
        <f t="shared" si="103"/>
        <v/>
      </c>
      <c r="AS78" s="4" t="str">
        <f t="shared" si="92"/>
        <v/>
      </c>
      <c r="AT78" s="4" t="str">
        <f t="shared" si="93"/>
        <v/>
      </c>
      <c r="AU78" s="4" t="str">
        <f t="shared" si="94"/>
        <v/>
      </c>
      <c r="AV78" s="4" t="str">
        <f t="shared" si="95"/>
        <v/>
      </c>
      <c r="AW78" s="4" t="str">
        <f t="shared" si="96"/>
        <v/>
      </c>
      <c r="AZ78" s="6" t="str">
        <f t="shared" si="66"/>
        <v/>
      </c>
      <c r="BA78" s="10" t="str">
        <f t="shared" si="67"/>
        <v/>
      </c>
      <c r="BB78" s="4" t="str">
        <f t="shared" si="104"/>
        <v/>
      </c>
      <c r="BC78" s="4" t="str">
        <f t="shared" si="97"/>
        <v/>
      </c>
      <c r="BD78" s="4" t="str">
        <f t="shared" si="98"/>
        <v/>
      </c>
      <c r="BE78" s="4" t="str">
        <f t="shared" si="99"/>
        <v/>
      </c>
      <c r="BF78" s="4" t="str">
        <f t="shared" si="100"/>
        <v/>
      </c>
      <c r="BG78" s="4" t="str">
        <f t="shared" si="101"/>
        <v/>
      </c>
      <c r="BH78" s="5"/>
      <c r="BI78" s="7" t="str">
        <f t="shared" si="60"/>
        <v/>
      </c>
      <c r="BJ78" s="7" t="str">
        <f t="shared" si="68"/>
        <v/>
      </c>
      <c r="BK78" s="7"/>
      <c r="BM78" s="6">
        <v>44</v>
      </c>
      <c r="BN78" s="5" t="str">
        <f t="shared" si="50"/>
        <v/>
      </c>
      <c r="BO78" s="5" t="str">
        <f t="shared" si="51"/>
        <v/>
      </c>
      <c r="BP78" s="5" t="str">
        <f t="shared" si="52"/>
        <v/>
      </c>
      <c r="BQ78" s="5">
        <f t="shared" si="53"/>
        <v>0</v>
      </c>
      <c r="BR78" s="5" t="str">
        <f t="shared" si="54"/>
        <v/>
      </c>
      <c r="CC78" s="6"/>
      <c r="CD78" s="54"/>
      <c r="CE78" s="55"/>
      <c r="CF78" s="55"/>
      <c r="CG78" s="55"/>
      <c r="CH78" s="55"/>
      <c r="CI78" s="55"/>
      <c r="CJ78" s="55"/>
      <c r="DB78" s="4"/>
    </row>
    <row r="79" spans="1:106" x14ac:dyDescent="0.3">
      <c r="A79" s="9">
        <v>44</v>
      </c>
      <c r="B79" s="6" t="str">
        <f t="shared" si="69"/>
        <v/>
      </c>
      <c r="C79" s="46" t="str">
        <f>IF(A79&lt;=$C$19,'Fechas de pago'!B63,"")</f>
        <v/>
      </c>
      <c r="D79" s="4" t="str">
        <f t="shared" si="70"/>
        <v/>
      </c>
      <c r="E79" s="4" t="str">
        <f t="shared" si="71"/>
        <v/>
      </c>
      <c r="F79" s="4" t="str">
        <f t="shared" si="72"/>
        <v/>
      </c>
      <c r="G79" s="4" t="str">
        <f t="shared" si="73"/>
        <v/>
      </c>
      <c r="H79" s="4" t="str">
        <f t="shared" si="74"/>
        <v/>
      </c>
      <c r="I79" s="4" t="str">
        <f t="shared" si="75"/>
        <v/>
      </c>
      <c r="K79" s="5"/>
      <c r="L79" s="6" t="str">
        <f t="shared" si="64"/>
        <v/>
      </c>
      <c r="M79" s="10" t="str">
        <f t="shared" si="76"/>
        <v/>
      </c>
      <c r="N79" s="4" t="str">
        <f t="shared" si="102"/>
        <v/>
      </c>
      <c r="O79" s="4" t="str">
        <f t="shared" si="77"/>
        <v/>
      </c>
      <c r="P79" s="4" t="str">
        <f t="shared" si="78"/>
        <v/>
      </c>
      <c r="Q79" s="4" t="str">
        <f t="shared" si="79"/>
        <v/>
      </c>
      <c r="R79" s="4" t="str">
        <f t="shared" si="80"/>
        <v/>
      </c>
      <c r="S79" s="4" t="str">
        <f t="shared" si="81"/>
        <v/>
      </c>
      <c r="T79" s="5"/>
      <c r="V79" s="6" t="str">
        <f t="shared" si="21"/>
        <v/>
      </c>
      <c r="W79" s="10" t="str">
        <f t="shared" si="44"/>
        <v/>
      </c>
      <c r="X79" s="4" t="str">
        <f t="shared" si="105"/>
        <v/>
      </c>
      <c r="Y79" s="4" t="str">
        <f t="shared" si="82"/>
        <v/>
      </c>
      <c r="Z79" s="4" t="str">
        <f t="shared" si="83"/>
        <v/>
      </c>
      <c r="AA79" s="4">
        <f t="shared" si="106"/>
        <v>0</v>
      </c>
      <c r="AB79" s="4" t="str">
        <f t="shared" si="84"/>
        <v/>
      </c>
      <c r="AC79" s="4" t="str">
        <f t="shared" si="85"/>
        <v/>
      </c>
      <c r="AD79" s="5"/>
      <c r="AF79" s="6" t="str">
        <f t="shared" si="26"/>
        <v/>
      </c>
      <c r="AG79" s="10" t="str">
        <f t="shared" si="46"/>
        <v/>
      </c>
      <c r="AH79" s="4" t="str">
        <f t="shared" si="107"/>
        <v/>
      </c>
      <c r="AI79" s="4" t="str">
        <f t="shared" si="86"/>
        <v/>
      </c>
      <c r="AJ79" s="4" t="str">
        <f t="shared" si="87"/>
        <v/>
      </c>
      <c r="AK79" s="4" t="str">
        <f t="shared" si="88"/>
        <v/>
      </c>
      <c r="AL79" s="4" t="str">
        <f t="shared" si="89"/>
        <v/>
      </c>
      <c r="AM79" s="4" t="str">
        <f t="shared" si="90"/>
        <v/>
      </c>
      <c r="AN79" s="5"/>
      <c r="AP79" s="6" t="str">
        <f t="shared" si="65"/>
        <v/>
      </c>
      <c r="AQ79" s="10" t="str">
        <f t="shared" si="91"/>
        <v/>
      </c>
      <c r="AR79" s="4" t="str">
        <f t="shared" si="103"/>
        <v/>
      </c>
      <c r="AS79" s="4" t="str">
        <f t="shared" si="92"/>
        <v/>
      </c>
      <c r="AT79" s="4" t="str">
        <f t="shared" si="93"/>
        <v/>
      </c>
      <c r="AU79" s="4" t="str">
        <f t="shared" si="94"/>
        <v/>
      </c>
      <c r="AV79" s="4" t="str">
        <f t="shared" si="95"/>
        <v/>
      </c>
      <c r="AW79" s="4" t="str">
        <f t="shared" si="96"/>
        <v/>
      </c>
      <c r="AZ79" s="6" t="str">
        <f t="shared" si="66"/>
        <v/>
      </c>
      <c r="BA79" s="10" t="str">
        <f t="shared" si="67"/>
        <v/>
      </c>
      <c r="BB79" s="4" t="str">
        <f t="shared" si="104"/>
        <v/>
      </c>
      <c r="BC79" s="4" t="str">
        <f t="shared" si="97"/>
        <v/>
      </c>
      <c r="BD79" s="4" t="str">
        <f t="shared" si="98"/>
        <v/>
      </c>
      <c r="BE79" s="4" t="str">
        <f t="shared" si="99"/>
        <v/>
      </c>
      <c r="BF79" s="4" t="str">
        <f t="shared" si="100"/>
        <v/>
      </c>
      <c r="BG79" s="4" t="str">
        <f t="shared" si="101"/>
        <v/>
      </c>
      <c r="BH79" s="5"/>
      <c r="BI79" s="7" t="str">
        <f t="shared" si="60"/>
        <v/>
      </c>
      <c r="BJ79" s="7" t="str">
        <f t="shared" si="68"/>
        <v/>
      </c>
      <c r="BK79" s="7"/>
      <c r="BM79" s="6">
        <v>45</v>
      </c>
      <c r="BN79" s="5" t="str">
        <f t="shared" si="50"/>
        <v/>
      </c>
      <c r="BO79" s="5" t="str">
        <f t="shared" si="51"/>
        <v/>
      </c>
      <c r="BP79" s="5" t="str">
        <f t="shared" si="52"/>
        <v/>
      </c>
      <c r="BQ79" s="5">
        <f t="shared" si="53"/>
        <v>0</v>
      </c>
      <c r="BR79" s="5" t="str">
        <f t="shared" si="54"/>
        <v/>
      </c>
      <c r="CC79" s="6"/>
      <c r="CD79" s="54"/>
      <c r="CE79" s="55"/>
      <c r="CF79" s="55"/>
      <c r="CG79" s="55"/>
      <c r="CH79" s="55"/>
      <c r="CI79" s="55"/>
      <c r="CJ79" s="55"/>
      <c r="DB79" s="4"/>
    </row>
    <row r="80" spans="1:106" x14ac:dyDescent="0.3">
      <c r="A80" s="9">
        <v>45</v>
      </c>
      <c r="B80" s="6" t="str">
        <f t="shared" si="69"/>
        <v/>
      </c>
      <c r="C80" s="46" t="str">
        <f>IF(A80&lt;=$C$19,'Fechas de pago'!B64,"")</f>
        <v/>
      </c>
      <c r="D80" s="4" t="str">
        <f t="shared" si="70"/>
        <v/>
      </c>
      <c r="E80" s="4" t="str">
        <f t="shared" si="71"/>
        <v/>
      </c>
      <c r="F80" s="4" t="str">
        <f t="shared" si="72"/>
        <v/>
      </c>
      <c r="G80" s="4" t="str">
        <f t="shared" si="73"/>
        <v/>
      </c>
      <c r="H80" s="4" t="str">
        <f t="shared" si="74"/>
        <v/>
      </c>
      <c r="I80" s="4" t="str">
        <f t="shared" si="75"/>
        <v/>
      </c>
      <c r="K80" s="5"/>
      <c r="L80" s="6" t="str">
        <f t="shared" si="64"/>
        <v/>
      </c>
      <c r="M80" s="10" t="str">
        <f t="shared" si="76"/>
        <v/>
      </c>
      <c r="N80" s="4" t="str">
        <f t="shared" si="102"/>
        <v/>
      </c>
      <c r="O80" s="4" t="str">
        <f t="shared" si="77"/>
        <v/>
      </c>
      <c r="P80" s="4" t="str">
        <f t="shared" si="78"/>
        <v/>
      </c>
      <c r="Q80" s="4" t="str">
        <f t="shared" si="79"/>
        <v/>
      </c>
      <c r="R80" s="4" t="str">
        <f t="shared" si="80"/>
        <v/>
      </c>
      <c r="S80" s="4" t="str">
        <f t="shared" si="81"/>
        <v/>
      </c>
      <c r="T80" s="5"/>
      <c r="V80" s="6" t="str">
        <f t="shared" si="21"/>
        <v/>
      </c>
      <c r="W80" s="10" t="str">
        <f t="shared" si="44"/>
        <v/>
      </c>
      <c r="X80" s="4" t="str">
        <f t="shared" si="105"/>
        <v/>
      </c>
      <c r="Y80" s="4" t="str">
        <f t="shared" si="82"/>
        <v/>
      </c>
      <c r="Z80" s="4" t="str">
        <f t="shared" si="83"/>
        <v/>
      </c>
      <c r="AA80" s="4">
        <f t="shared" si="106"/>
        <v>0</v>
      </c>
      <c r="AB80" s="4" t="str">
        <f t="shared" si="84"/>
        <v/>
      </c>
      <c r="AC80" s="4" t="str">
        <f t="shared" si="85"/>
        <v/>
      </c>
      <c r="AD80" s="5"/>
      <c r="AF80" s="6" t="str">
        <f t="shared" si="26"/>
        <v/>
      </c>
      <c r="AG80" s="10" t="str">
        <f t="shared" si="46"/>
        <v/>
      </c>
      <c r="AH80" s="4" t="str">
        <f t="shared" si="107"/>
        <v/>
      </c>
      <c r="AI80" s="4" t="str">
        <f t="shared" si="86"/>
        <v/>
      </c>
      <c r="AJ80" s="4" t="str">
        <f t="shared" si="87"/>
        <v/>
      </c>
      <c r="AK80" s="4" t="str">
        <f t="shared" si="88"/>
        <v/>
      </c>
      <c r="AL80" s="4" t="str">
        <f t="shared" si="89"/>
        <v/>
      </c>
      <c r="AM80" s="4" t="str">
        <f t="shared" si="90"/>
        <v/>
      </c>
      <c r="AN80" s="5"/>
      <c r="AP80" s="6" t="str">
        <f t="shared" si="65"/>
        <v/>
      </c>
      <c r="AQ80" s="10" t="str">
        <f t="shared" si="91"/>
        <v/>
      </c>
      <c r="AR80" s="4" t="str">
        <f t="shared" si="103"/>
        <v/>
      </c>
      <c r="AS80" s="4" t="str">
        <f t="shared" si="92"/>
        <v/>
      </c>
      <c r="AT80" s="4" t="str">
        <f t="shared" si="93"/>
        <v/>
      </c>
      <c r="AU80" s="4" t="str">
        <f t="shared" si="94"/>
        <v/>
      </c>
      <c r="AV80" s="4" t="str">
        <f t="shared" si="95"/>
        <v/>
      </c>
      <c r="AW80" s="4" t="str">
        <f t="shared" si="96"/>
        <v/>
      </c>
      <c r="AZ80" s="6" t="str">
        <f t="shared" si="66"/>
        <v/>
      </c>
      <c r="BA80" s="10" t="str">
        <f t="shared" si="67"/>
        <v/>
      </c>
      <c r="BB80" s="4" t="str">
        <f t="shared" si="104"/>
        <v/>
      </c>
      <c r="BC80" s="4" t="str">
        <f t="shared" si="97"/>
        <v/>
      </c>
      <c r="BD80" s="4" t="str">
        <f t="shared" si="98"/>
        <v/>
      </c>
      <c r="BE80" s="4" t="str">
        <f t="shared" si="99"/>
        <v/>
      </c>
      <c r="BF80" s="4" t="str">
        <f t="shared" si="100"/>
        <v/>
      </c>
      <c r="BG80" s="4" t="str">
        <f t="shared" si="101"/>
        <v/>
      </c>
      <c r="BH80" s="5"/>
      <c r="BI80" s="7" t="str">
        <f t="shared" si="60"/>
        <v/>
      </c>
      <c r="BJ80" s="7" t="str">
        <f t="shared" si="68"/>
        <v/>
      </c>
      <c r="BK80" s="7"/>
      <c r="BM80" s="6">
        <v>46</v>
      </c>
      <c r="BN80" s="5" t="str">
        <f t="shared" si="50"/>
        <v/>
      </c>
      <c r="BO80" s="5" t="str">
        <f t="shared" si="51"/>
        <v/>
      </c>
      <c r="BP80" s="5" t="str">
        <f t="shared" si="52"/>
        <v/>
      </c>
      <c r="BQ80" s="5">
        <f t="shared" si="53"/>
        <v>0</v>
      </c>
      <c r="BR80" s="5" t="str">
        <f t="shared" si="54"/>
        <v/>
      </c>
      <c r="CC80" s="6"/>
      <c r="CD80" s="54"/>
      <c r="CE80" s="55"/>
      <c r="CF80" s="55"/>
      <c r="CG80" s="55"/>
      <c r="CH80" s="55"/>
      <c r="CI80" s="55"/>
      <c r="CJ80" s="55"/>
      <c r="DB80" s="4"/>
    </row>
    <row r="81" spans="1:106" x14ac:dyDescent="0.3">
      <c r="A81" s="9">
        <v>46</v>
      </c>
      <c r="B81" s="6" t="str">
        <f t="shared" si="69"/>
        <v/>
      </c>
      <c r="C81" s="46" t="str">
        <f>IF(A81&lt;=$C$19,'Fechas de pago'!B65,"")</f>
        <v/>
      </c>
      <c r="D81" s="4" t="str">
        <f t="shared" si="70"/>
        <v/>
      </c>
      <c r="E81" s="4" t="str">
        <f t="shared" si="71"/>
        <v/>
      </c>
      <c r="F81" s="4" t="str">
        <f t="shared" si="72"/>
        <v/>
      </c>
      <c r="G81" s="4" t="str">
        <f t="shared" si="73"/>
        <v/>
      </c>
      <c r="H81" s="4" t="str">
        <f t="shared" si="74"/>
        <v/>
      </c>
      <c r="I81" s="4" t="str">
        <f t="shared" si="75"/>
        <v/>
      </c>
      <c r="K81" s="5"/>
      <c r="L81" s="6" t="str">
        <f t="shared" si="64"/>
        <v/>
      </c>
      <c r="M81" s="10" t="str">
        <f t="shared" si="76"/>
        <v/>
      </c>
      <c r="N81" s="4" t="str">
        <f t="shared" si="102"/>
        <v/>
      </c>
      <c r="O81" s="4" t="str">
        <f t="shared" si="77"/>
        <v/>
      </c>
      <c r="P81" s="4" t="str">
        <f t="shared" si="78"/>
        <v/>
      </c>
      <c r="Q81" s="4" t="str">
        <f t="shared" si="79"/>
        <v/>
      </c>
      <c r="R81" s="4" t="str">
        <f t="shared" si="80"/>
        <v/>
      </c>
      <c r="S81" s="4" t="str">
        <f t="shared" si="81"/>
        <v/>
      </c>
      <c r="T81" s="5"/>
      <c r="V81" s="6" t="str">
        <f t="shared" si="21"/>
        <v/>
      </c>
      <c r="W81" s="10" t="str">
        <f t="shared" si="44"/>
        <v/>
      </c>
      <c r="X81" s="4" t="str">
        <f t="shared" si="105"/>
        <v/>
      </c>
      <c r="Y81" s="4" t="str">
        <f t="shared" si="82"/>
        <v/>
      </c>
      <c r="Z81" s="4" t="str">
        <f t="shared" si="83"/>
        <v/>
      </c>
      <c r="AA81" s="4">
        <f t="shared" si="106"/>
        <v>0</v>
      </c>
      <c r="AB81" s="4" t="str">
        <f t="shared" si="84"/>
        <v/>
      </c>
      <c r="AC81" s="4" t="str">
        <f t="shared" si="85"/>
        <v/>
      </c>
      <c r="AD81" s="5"/>
      <c r="AF81" s="6" t="str">
        <f t="shared" si="26"/>
        <v/>
      </c>
      <c r="AG81" s="10" t="str">
        <f t="shared" si="46"/>
        <v/>
      </c>
      <c r="AH81" s="4" t="str">
        <f t="shared" si="107"/>
        <v/>
      </c>
      <c r="AI81" s="4" t="str">
        <f t="shared" si="86"/>
        <v/>
      </c>
      <c r="AJ81" s="4" t="str">
        <f t="shared" si="87"/>
        <v/>
      </c>
      <c r="AK81" s="4" t="str">
        <f t="shared" si="88"/>
        <v/>
      </c>
      <c r="AL81" s="4" t="str">
        <f t="shared" si="89"/>
        <v/>
      </c>
      <c r="AM81" s="4" t="str">
        <f t="shared" si="90"/>
        <v/>
      </c>
      <c r="AN81" s="5"/>
      <c r="AP81" s="6" t="str">
        <f t="shared" si="65"/>
        <v/>
      </c>
      <c r="AQ81" s="10" t="str">
        <f t="shared" si="91"/>
        <v/>
      </c>
      <c r="AR81" s="4" t="str">
        <f t="shared" si="103"/>
        <v/>
      </c>
      <c r="AS81" s="4" t="str">
        <f t="shared" si="92"/>
        <v/>
      </c>
      <c r="AT81" s="4" t="str">
        <f t="shared" si="93"/>
        <v/>
      </c>
      <c r="AU81" s="4" t="str">
        <f t="shared" si="94"/>
        <v/>
      </c>
      <c r="AV81" s="4" t="str">
        <f t="shared" si="95"/>
        <v/>
      </c>
      <c r="AW81" s="4" t="str">
        <f t="shared" si="96"/>
        <v/>
      </c>
      <c r="AZ81" s="6" t="str">
        <f t="shared" si="66"/>
        <v/>
      </c>
      <c r="BA81" s="10" t="str">
        <f t="shared" si="67"/>
        <v/>
      </c>
      <c r="BB81" s="4" t="str">
        <f t="shared" si="104"/>
        <v/>
      </c>
      <c r="BC81" s="4" t="str">
        <f t="shared" si="97"/>
        <v/>
      </c>
      <c r="BD81" s="4" t="str">
        <f t="shared" si="98"/>
        <v/>
      </c>
      <c r="BE81" s="4" t="str">
        <f t="shared" si="99"/>
        <v/>
      </c>
      <c r="BF81" s="4" t="str">
        <f t="shared" si="100"/>
        <v/>
      </c>
      <c r="BG81" s="4" t="str">
        <f t="shared" si="101"/>
        <v/>
      </c>
      <c r="BH81" s="5"/>
      <c r="BI81" s="7" t="str">
        <f t="shared" si="60"/>
        <v/>
      </c>
      <c r="BJ81" s="7" t="str">
        <f t="shared" si="68"/>
        <v/>
      </c>
      <c r="BK81" s="7"/>
      <c r="BM81" s="6">
        <v>47</v>
      </c>
      <c r="BN81" s="5" t="str">
        <f t="shared" si="50"/>
        <v/>
      </c>
      <c r="BO81" s="5" t="str">
        <f t="shared" si="51"/>
        <v/>
      </c>
      <c r="BP81" s="5" t="str">
        <f t="shared" si="52"/>
        <v/>
      </c>
      <c r="BQ81" s="5">
        <f t="shared" si="53"/>
        <v>0</v>
      </c>
      <c r="BR81" s="5" t="str">
        <f t="shared" si="54"/>
        <v/>
      </c>
      <c r="CC81" s="6"/>
      <c r="CD81" s="54"/>
      <c r="CE81" s="55"/>
      <c r="CF81" s="55"/>
      <c r="CG81" s="55"/>
      <c r="CH81" s="55"/>
      <c r="CI81" s="55"/>
      <c r="CJ81" s="55"/>
      <c r="DB81" s="4"/>
    </row>
    <row r="82" spans="1:106" x14ac:dyDescent="0.3">
      <c r="A82" s="9">
        <v>47</v>
      </c>
      <c r="B82" s="6" t="str">
        <f t="shared" si="69"/>
        <v/>
      </c>
      <c r="C82" s="46" t="str">
        <f>IF(A82&lt;=$C$19,'Fechas de pago'!B66,"")</f>
        <v/>
      </c>
      <c r="D82" s="4" t="str">
        <f t="shared" si="70"/>
        <v/>
      </c>
      <c r="E82" s="4" t="str">
        <f t="shared" si="71"/>
        <v/>
      </c>
      <c r="F82" s="4" t="str">
        <f t="shared" si="72"/>
        <v/>
      </c>
      <c r="G82" s="4" t="str">
        <f t="shared" si="73"/>
        <v/>
      </c>
      <c r="H82" s="4" t="str">
        <f t="shared" si="74"/>
        <v/>
      </c>
      <c r="I82" s="4" t="str">
        <f t="shared" si="75"/>
        <v/>
      </c>
      <c r="K82" s="5"/>
      <c r="L82" s="6" t="str">
        <f t="shared" si="64"/>
        <v/>
      </c>
      <c r="M82" s="10" t="str">
        <f t="shared" si="76"/>
        <v/>
      </c>
      <c r="N82" s="4" t="str">
        <f t="shared" si="102"/>
        <v/>
      </c>
      <c r="O82" s="4" t="str">
        <f t="shared" si="77"/>
        <v/>
      </c>
      <c r="P82" s="4" t="str">
        <f t="shared" si="78"/>
        <v/>
      </c>
      <c r="Q82" s="4" t="str">
        <f t="shared" si="79"/>
        <v/>
      </c>
      <c r="R82" s="4" t="str">
        <f t="shared" si="80"/>
        <v/>
      </c>
      <c r="S82" s="4" t="str">
        <f t="shared" si="81"/>
        <v/>
      </c>
      <c r="T82" s="5"/>
      <c r="V82" s="6" t="str">
        <f t="shared" si="21"/>
        <v/>
      </c>
      <c r="W82" s="10" t="str">
        <f t="shared" si="44"/>
        <v/>
      </c>
      <c r="X82" s="4" t="str">
        <f t="shared" si="105"/>
        <v/>
      </c>
      <c r="Y82" s="4" t="str">
        <f t="shared" si="82"/>
        <v/>
      </c>
      <c r="Z82" s="4" t="str">
        <f t="shared" si="83"/>
        <v/>
      </c>
      <c r="AA82" s="4">
        <f t="shared" si="106"/>
        <v>0</v>
      </c>
      <c r="AB82" s="4" t="str">
        <f t="shared" si="84"/>
        <v/>
      </c>
      <c r="AC82" s="4" t="str">
        <f t="shared" si="85"/>
        <v/>
      </c>
      <c r="AD82" s="5"/>
      <c r="AF82" s="6" t="str">
        <f t="shared" si="26"/>
        <v/>
      </c>
      <c r="AG82" s="10" t="str">
        <f t="shared" si="46"/>
        <v/>
      </c>
      <c r="AH82" s="4" t="str">
        <f t="shared" si="107"/>
        <v/>
      </c>
      <c r="AI82" s="4" t="str">
        <f t="shared" si="86"/>
        <v/>
      </c>
      <c r="AJ82" s="4" t="str">
        <f t="shared" si="87"/>
        <v/>
      </c>
      <c r="AK82" s="4" t="str">
        <f t="shared" si="88"/>
        <v/>
      </c>
      <c r="AL82" s="4" t="str">
        <f t="shared" si="89"/>
        <v/>
      </c>
      <c r="AM82" s="4" t="str">
        <f t="shared" si="90"/>
        <v/>
      </c>
      <c r="AN82" s="5"/>
      <c r="AP82" s="6" t="str">
        <f t="shared" si="65"/>
        <v/>
      </c>
      <c r="AQ82" s="10" t="str">
        <f t="shared" si="91"/>
        <v/>
      </c>
      <c r="AR82" s="4" t="str">
        <f t="shared" si="103"/>
        <v/>
      </c>
      <c r="AS82" s="4" t="str">
        <f t="shared" si="92"/>
        <v/>
      </c>
      <c r="AT82" s="4" t="str">
        <f t="shared" si="93"/>
        <v/>
      </c>
      <c r="AU82" s="4" t="str">
        <f t="shared" si="94"/>
        <v/>
      </c>
      <c r="AV82" s="4" t="str">
        <f t="shared" si="95"/>
        <v/>
      </c>
      <c r="AW82" s="4" t="str">
        <f t="shared" si="96"/>
        <v/>
      </c>
      <c r="AZ82" s="6" t="str">
        <f t="shared" si="66"/>
        <v/>
      </c>
      <c r="BA82" s="10" t="str">
        <f t="shared" si="67"/>
        <v/>
      </c>
      <c r="BB82" s="4" t="str">
        <f t="shared" si="104"/>
        <v/>
      </c>
      <c r="BC82" s="4" t="str">
        <f t="shared" si="97"/>
        <v/>
      </c>
      <c r="BD82" s="4" t="str">
        <f t="shared" si="98"/>
        <v/>
      </c>
      <c r="BE82" s="4" t="str">
        <f t="shared" si="99"/>
        <v/>
      </c>
      <c r="BF82" s="4" t="str">
        <f t="shared" si="100"/>
        <v/>
      </c>
      <c r="BG82" s="4" t="str">
        <f t="shared" si="101"/>
        <v/>
      </c>
      <c r="BH82" s="5"/>
      <c r="BI82" s="7" t="str">
        <f t="shared" si="60"/>
        <v/>
      </c>
      <c r="BJ82" s="7" t="str">
        <f t="shared" si="68"/>
        <v/>
      </c>
      <c r="BK82" s="7"/>
      <c r="BM82" s="6">
        <v>48</v>
      </c>
      <c r="BN82" s="5" t="str">
        <f t="shared" si="50"/>
        <v/>
      </c>
      <c r="BO82" s="5" t="str">
        <f t="shared" si="51"/>
        <v/>
      </c>
      <c r="BP82" s="5" t="str">
        <f t="shared" si="52"/>
        <v/>
      </c>
      <c r="BQ82" s="5">
        <f t="shared" si="53"/>
        <v>0</v>
      </c>
      <c r="BR82" s="5" t="str">
        <f t="shared" si="54"/>
        <v/>
      </c>
      <c r="CC82" s="6"/>
      <c r="CD82" s="54"/>
      <c r="CE82" s="55"/>
      <c r="CF82" s="55"/>
      <c r="CG82" s="55"/>
      <c r="CH82" s="55"/>
      <c r="CI82" s="55"/>
      <c r="CJ82" s="55"/>
      <c r="DB82" s="4"/>
    </row>
    <row r="83" spans="1:106" x14ac:dyDescent="0.3">
      <c r="A83" s="9">
        <v>48</v>
      </c>
      <c r="B83" s="6" t="str">
        <f t="shared" si="69"/>
        <v/>
      </c>
      <c r="C83" s="46" t="str">
        <f>IF(A83&lt;=$C$19,'Fechas de pago'!B67,"")</f>
        <v/>
      </c>
      <c r="D83" s="4" t="str">
        <f t="shared" si="70"/>
        <v/>
      </c>
      <c r="E83" s="4" t="str">
        <f t="shared" si="71"/>
        <v/>
      </c>
      <c r="F83" s="4" t="str">
        <f t="shared" si="72"/>
        <v/>
      </c>
      <c r="G83" s="4" t="str">
        <f t="shared" si="73"/>
        <v/>
      </c>
      <c r="H83" s="4" t="str">
        <f t="shared" si="74"/>
        <v/>
      </c>
      <c r="I83" s="4" t="str">
        <f t="shared" si="75"/>
        <v/>
      </c>
      <c r="K83" s="5"/>
      <c r="L83" s="6" t="str">
        <f t="shared" si="64"/>
        <v/>
      </c>
      <c r="M83" s="10" t="str">
        <f t="shared" si="76"/>
        <v/>
      </c>
      <c r="N83" s="4" t="str">
        <f t="shared" si="102"/>
        <v/>
      </c>
      <c r="O83" s="4" t="str">
        <f t="shared" si="77"/>
        <v/>
      </c>
      <c r="P83" s="4" t="str">
        <f t="shared" si="78"/>
        <v/>
      </c>
      <c r="Q83" s="4" t="str">
        <f t="shared" si="79"/>
        <v/>
      </c>
      <c r="R83" s="4" t="str">
        <f t="shared" si="80"/>
        <v/>
      </c>
      <c r="S83" s="4" t="str">
        <f t="shared" si="81"/>
        <v/>
      </c>
      <c r="T83" s="5"/>
      <c r="V83" s="6" t="str">
        <f t="shared" si="21"/>
        <v/>
      </c>
      <c r="W83" s="10" t="str">
        <f t="shared" si="44"/>
        <v/>
      </c>
      <c r="X83" s="4" t="str">
        <f t="shared" si="105"/>
        <v/>
      </c>
      <c r="Y83" s="4" t="str">
        <f t="shared" si="82"/>
        <v/>
      </c>
      <c r="Z83" s="4" t="str">
        <f t="shared" si="83"/>
        <v/>
      </c>
      <c r="AA83" s="4">
        <f t="shared" si="106"/>
        <v>0</v>
      </c>
      <c r="AB83" s="4" t="str">
        <f t="shared" si="84"/>
        <v/>
      </c>
      <c r="AC83" s="4" t="str">
        <f t="shared" si="85"/>
        <v/>
      </c>
      <c r="AD83" s="5"/>
      <c r="AF83" s="6" t="str">
        <f t="shared" si="26"/>
        <v/>
      </c>
      <c r="AG83" s="10" t="str">
        <f t="shared" si="46"/>
        <v/>
      </c>
      <c r="AH83" s="4" t="str">
        <f t="shared" si="107"/>
        <v/>
      </c>
      <c r="AI83" s="4" t="str">
        <f t="shared" si="86"/>
        <v/>
      </c>
      <c r="AJ83" s="4" t="str">
        <f t="shared" si="87"/>
        <v/>
      </c>
      <c r="AK83" s="4" t="str">
        <f t="shared" si="88"/>
        <v/>
      </c>
      <c r="AL83" s="4" t="str">
        <f t="shared" si="89"/>
        <v/>
      </c>
      <c r="AM83" s="4" t="str">
        <f t="shared" si="90"/>
        <v/>
      </c>
      <c r="AN83" s="5"/>
      <c r="AP83" s="6" t="str">
        <f t="shared" si="65"/>
        <v/>
      </c>
      <c r="AQ83" s="10" t="str">
        <f t="shared" si="91"/>
        <v/>
      </c>
      <c r="AR83" s="4" t="str">
        <f t="shared" si="103"/>
        <v/>
      </c>
      <c r="AS83" s="4" t="str">
        <f t="shared" si="92"/>
        <v/>
      </c>
      <c r="AT83" s="4" t="str">
        <f t="shared" si="93"/>
        <v/>
      </c>
      <c r="AU83" s="4" t="str">
        <f t="shared" si="94"/>
        <v/>
      </c>
      <c r="AV83" s="4" t="str">
        <f t="shared" si="95"/>
        <v/>
      </c>
      <c r="AW83" s="4" t="str">
        <f t="shared" si="96"/>
        <v/>
      </c>
      <c r="AZ83" s="6" t="str">
        <f t="shared" si="66"/>
        <v/>
      </c>
      <c r="BA83" s="10" t="str">
        <f t="shared" si="67"/>
        <v/>
      </c>
      <c r="BB83" s="4" t="str">
        <f t="shared" si="104"/>
        <v/>
      </c>
      <c r="BC83" s="4" t="str">
        <f t="shared" si="97"/>
        <v/>
      </c>
      <c r="BD83" s="4" t="str">
        <f t="shared" si="98"/>
        <v/>
      </c>
      <c r="BE83" s="4" t="str">
        <f t="shared" si="99"/>
        <v/>
      </c>
      <c r="BF83" s="4" t="str">
        <f t="shared" si="100"/>
        <v/>
      </c>
      <c r="BG83" s="4" t="str">
        <f t="shared" si="101"/>
        <v/>
      </c>
      <c r="BH83" s="5"/>
      <c r="BI83" s="7" t="str">
        <f t="shared" si="60"/>
        <v/>
      </c>
      <c r="BJ83" s="7" t="str">
        <f t="shared" si="68"/>
        <v/>
      </c>
      <c r="BK83" s="7"/>
      <c r="BM83" s="6">
        <v>49</v>
      </c>
      <c r="BN83" s="5" t="str">
        <f t="shared" si="50"/>
        <v/>
      </c>
      <c r="BO83" s="5" t="str">
        <f t="shared" si="51"/>
        <v/>
      </c>
      <c r="BP83" s="5" t="str">
        <f t="shared" si="52"/>
        <v/>
      </c>
      <c r="BQ83" s="5">
        <f t="shared" si="53"/>
        <v>0</v>
      </c>
      <c r="BR83" s="5" t="str">
        <f t="shared" si="54"/>
        <v/>
      </c>
      <c r="CC83" s="6"/>
      <c r="CD83" s="54"/>
      <c r="CE83" s="55"/>
      <c r="CF83" s="55"/>
      <c r="CG83" s="55"/>
      <c r="CH83" s="55"/>
      <c r="CI83" s="55"/>
      <c r="CJ83" s="55"/>
      <c r="DB83" s="4"/>
    </row>
    <row r="84" spans="1:106" x14ac:dyDescent="0.3">
      <c r="A84" s="9">
        <v>49</v>
      </c>
      <c r="B84" s="118" t="str">
        <f t="shared" si="69"/>
        <v/>
      </c>
      <c r="C84" s="119" t="str">
        <f>IF(A84&lt;=$C$19,'Fechas de pago'!B68,"")</f>
        <v/>
      </c>
      <c r="D84" s="45" t="str">
        <f t="shared" si="70"/>
        <v/>
      </c>
      <c r="E84" s="45" t="str">
        <f t="shared" si="71"/>
        <v/>
      </c>
      <c r="F84" s="45" t="str">
        <f t="shared" si="72"/>
        <v/>
      </c>
      <c r="G84" s="45" t="str">
        <f t="shared" si="73"/>
        <v/>
      </c>
      <c r="H84" s="45" t="str">
        <f t="shared" si="74"/>
        <v/>
      </c>
      <c r="I84" s="45" t="str">
        <f t="shared" si="75"/>
        <v/>
      </c>
      <c r="K84" s="5"/>
      <c r="L84" s="118" t="str">
        <f t="shared" si="64"/>
        <v/>
      </c>
      <c r="M84" s="121" t="str">
        <f t="shared" si="76"/>
        <v/>
      </c>
      <c r="N84" s="45" t="str">
        <f t="shared" si="102"/>
        <v/>
      </c>
      <c r="O84" s="45" t="str">
        <f t="shared" si="77"/>
        <v/>
      </c>
      <c r="P84" s="45" t="str">
        <f t="shared" si="78"/>
        <v/>
      </c>
      <c r="Q84" s="45" t="str">
        <f t="shared" si="79"/>
        <v/>
      </c>
      <c r="R84" s="45" t="str">
        <f t="shared" si="80"/>
        <v/>
      </c>
      <c r="S84" s="45" t="str">
        <f t="shared" si="81"/>
        <v/>
      </c>
      <c r="T84" s="5"/>
      <c r="V84" s="118" t="str">
        <f t="shared" si="21"/>
        <v/>
      </c>
      <c r="W84" s="121" t="str">
        <f t="shared" si="44"/>
        <v/>
      </c>
      <c r="X84" s="45" t="str">
        <f>IF(V84&gt;$C$19,"",IF(AND($C$10="Multianual Fraccionado",$C$9="Contado"),$C$13,IF(AND($C$10="Multianual Fraccionado",$C$9="Financiado"),$C$12,IF(AND($C$9="financiado",$C$10="Multianual Financiado"),X83-Y83,IF(OR(C9="Externo",AND($C$9="financiado",$C$10="anual")),0,IF(AND($C$10="Multianual Financiado",$C$9="CONTADO"),0,IF(AND($C$9="CONTADO",$C$10="M13"),$C$13,0)))))))</f>
        <v/>
      </c>
      <c r="Y84" s="45" t="str">
        <f t="shared" si="82"/>
        <v/>
      </c>
      <c r="Z84" s="45" t="str">
        <f t="shared" si="83"/>
        <v/>
      </c>
      <c r="AA84" s="45">
        <f>IF(AND($C$9="financiado",$C$10="multianual financiado",V84&lt;=$C$19),-PMT($C$20/12,$C$19,$C$11),IF(AND($C$9="financiado",$C$10="anual"),0,IF(OR($C$9="promocional",$C$9="gratis",$C$9="Externo"),0,IF(AND(OR($C$10="Multianual Fraccionado",$C$10="M13"),$C$9="Contado",V84&lt;=$C$19),-PMT($C$20/12,W$29,$C$13),IF(AND($C$10="Multianual Fraccionado",$C$9="Financiado",V84&lt;=$C$19),-PMT($C$20/12,W$29,$C$12),0)))))</f>
        <v>0</v>
      </c>
      <c r="AB84" s="45" t="str">
        <f t="shared" si="84"/>
        <v/>
      </c>
      <c r="AC84" s="45" t="str">
        <f t="shared" si="85"/>
        <v/>
      </c>
      <c r="AD84" s="5"/>
      <c r="AF84" s="118" t="str">
        <f t="shared" si="26"/>
        <v/>
      </c>
      <c r="AG84" s="121" t="str">
        <f t="shared" si="46"/>
        <v/>
      </c>
      <c r="AH84" s="45" t="str">
        <f>IF(A84&lt;=$C$19,AH36,"")</f>
        <v/>
      </c>
      <c r="AI84" s="45" t="str">
        <f t="shared" si="86"/>
        <v/>
      </c>
      <c r="AJ84" s="45" t="str">
        <f t="shared" si="87"/>
        <v/>
      </c>
      <c r="AK84" s="45" t="str">
        <f t="shared" si="88"/>
        <v/>
      </c>
      <c r="AL84" s="45" t="str">
        <f t="shared" si="89"/>
        <v/>
      </c>
      <c r="AM84" s="45" t="str">
        <f t="shared" si="90"/>
        <v/>
      </c>
      <c r="AN84" s="5"/>
      <c r="AP84" s="118" t="str">
        <f t="shared" si="65"/>
        <v/>
      </c>
      <c r="AQ84" s="121" t="str">
        <f t="shared" si="91"/>
        <v/>
      </c>
      <c r="AR84" s="45" t="str">
        <f t="shared" si="103"/>
        <v/>
      </c>
      <c r="AS84" s="45" t="str">
        <f t="shared" si="92"/>
        <v/>
      </c>
      <c r="AT84" s="45" t="str">
        <f t="shared" si="93"/>
        <v/>
      </c>
      <c r="AU84" s="45" t="str">
        <f t="shared" si="94"/>
        <v/>
      </c>
      <c r="AV84" s="45" t="str">
        <f t="shared" si="95"/>
        <v/>
      </c>
      <c r="AW84" s="45" t="str">
        <f t="shared" si="96"/>
        <v/>
      </c>
      <c r="AZ84" s="118" t="str">
        <f t="shared" si="66"/>
        <v/>
      </c>
      <c r="BA84" s="121" t="str">
        <f t="shared" si="67"/>
        <v/>
      </c>
      <c r="BB84" s="45" t="str">
        <f t="shared" si="104"/>
        <v/>
      </c>
      <c r="BC84" s="45" t="str">
        <f t="shared" si="97"/>
        <v/>
      </c>
      <c r="BD84" s="45" t="str">
        <f t="shared" si="98"/>
        <v/>
      </c>
      <c r="BE84" s="45" t="str">
        <f t="shared" si="99"/>
        <v/>
      </c>
      <c r="BF84" s="45" t="str">
        <f t="shared" si="100"/>
        <v/>
      </c>
      <c r="BG84" s="45" t="str">
        <f t="shared" si="101"/>
        <v/>
      </c>
      <c r="BH84" s="5"/>
      <c r="BI84" s="122" t="str">
        <f>IF(SUM(BN84:BT84)&gt;0,SUM(BN84:BT84),"")</f>
        <v/>
      </c>
      <c r="BJ84" s="122" t="str">
        <f t="shared" si="68"/>
        <v/>
      </c>
      <c r="BK84" s="7"/>
      <c r="BM84" s="118">
        <v>50</v>
      </c>
      <c r="BN84" s="120" t="str">
        <f t="shared" si="50"/>
        <v/>
      </c>
      <c r="BO84" s="120" t="str">
        <f t="shared" si="51"/>
        <v/>
      </c>
      <c r="BP84" s="120" t="str">
        <f t="shared" si="52"/>
        <v/>
      </c>
      <c r="BQ84" s="120">
        <f t="shared" si="53"/>
        <v>0</v>
      </c>
      <c r="BR84" s="120" t="str">
        <f t="shared" si="54"/>
        <v/>
      </c>
      <c r="BS84" s="45"/>
      <c r="BT84" s="120">
        <f>IF(AND($C$9="Externo",BM84&lt;=$C$19),$D$11,0)</f>
        <v>0</v>
      </c>
      <c r="CC84" s="6"/>
      <c r="CD84" s="54"/>
      <c r="CE84" s="55"/>
      <c r="CF84" s="55"/>
      <c r="CG84" s="55"/>
      <c r="CH84" s="55"/>
      <c r="CI84" s="55"/>
      <c r="CJ84" s="55"/>
      <c r="DB84" s="4"/>
    </row>
    <row r="85" spans="1:106" x14ac:dyDescent="0.3">
      <c r="A85" s="9">
        <v>50</v>
      </c>
      <c r="B85" s="6" t="str">
        <f t="shared" si="69"/>
        <v/>
      </c>
      <c r="C85" s="46" t="str">
        <f>IF(A85&lt;=$C$19,'Fechas de pago'!B69,"")</f>
        <v/>
      </c>
      <c r="D85" s="4" t="str">
        <f t="shared" si="70"/>
        <v/>
      </c>
      <c r="E85" s="4" t="str">
        <f t="shared" si="71"/>
        <v/>
      </c>
      <c r="F85" s="4" t="str">
        <f t="shared" si="72"/>
        <v/>
      </c>
      <c r="G85" s="4" t="str">
        <f t="shared" si="73"/>
        <v/>
      </c>
      <c r="H85" s="4" t="str">
        <f t="shared" si="74"/>
        <v/>
      </c>
      <c r="I85" s="4" t="str">
        <f t="shared" si="75"/>
        <v/>
      </c>
      <c r="K85" s="5"/>
      <c r="L85" s="6" t="str">
        <f t="shared" si="64"/>
        <v/>
      </c>
      <c r="M85" s="10" t="str">
        <f t="shared" si="76"/>
        <v/>
      </c>
      <c r="N85" s="4" t="str">
        <f t="shared" si="102"/>
        <v/>
      </c>
      <c r="O85" s="4" t="str">
        <f t="shared" si="77"/>
        <v/>
      </c>
      <c r="P85" s="4" t="str">
        <f t="shared" si="78"/>
        <v/>
      </c>
      <c r="Q85" s="4" t="str">
        <f t="shared" si="79"/>
        <v/>
      </c>
      <c r="R85" s="4" t="str">
        <f t="shared" si="80"/>
        <v/>
      </c>
      <c r="S85" s="4" t="str">
        <f t="shared" si="81"/>
        <v/>
      </c>
      <c r="T85" s="5"/>
      <c r="V85" s="6" t="str">
        <f t="shared" si="21"/>
        <v/>
      </c>
      <c r="W85" s="10" t="str">
        <f t="shared" si="44"/>
        <v/>
      </c>
      <c r="X85" s="4" t="str">
        <f t="shared" ref="X85:X107" si="108">IF(A85&lt;=$C$19,X84-Y84,"")</f>
        <v/>
      </c>
      <c r="Y85" s="4" t="str">
        <f t="shared" si="82"/>
        <v/>
      </c>
      <c r="Z85" s="4" t="str">
        <f t="shared" si="83"/>
        <v/>
      </c>
      <c r="AA85" s="4">
        <f t="shared" ref="AA85:AA95" si="109">IF(AND($C$9="financiado",$C$10="multianual financiado",V85&lt;=$C$19),-PMT($C$20/12,$C$19,$C$11),IF(AND($C$9="financiado",$C$10="anual"),0,IF(OR($C$9="promocional",$C$9="gratis",$C$9="Externo"),0,IF(AND(OR($C$10="Multianual Fraccionado",$C$10="M13"),$C$9="Contado",V85&lt;=$C$19),-PMT($C$20/12,W$29,$C$13),IF(AND($C$10="Multianual Fraccionado",$C$9="Financiado",V85&lt;=$C$19),-PMT($C$20/12,W$29,$C$12),0)))))</f>
        <v>0</v>
      </c>
      <c r="AB85" s="4" t="str">
        <f t="shared" si="84"/>
        <v/>
      </c>
      <c r="AC85" s="4" t="str">
        <f t="shared" si="85"/>
        <v/>
      </c>
      <c r="AD85" s="5"/>
      <c r="AF85" s="6" t="str">
        <f t="shared" si="26"/>
        <v/>
      </c>
      <c r="AG85" s="10" t="str">
        <f t="shared" si="46"/>
        <v/>
      </c>
      <c r="AH85" s="4" t="str">
        <f t="shared" ref="AH85:AH95" si="110">IF(A85&lt;=$C$19,AH84-AI84,"")</f>
        <v/>
      </c>
      <c r="AI85" s="4" t="str">
        <f t="shared" si="86"/>
        <v/>
      </c>
      <c r="AJ85" s="4" t="str">
        <f t="shared" si="87"/>
        <v/>
      </c>
      <c r="AK85" s="4" t="str">
        <f t="shared" si="88"/>
        <v/>
      </c>
      <c r="AL85" s="4" t="str">
        <f t="shared" si="89"/>
        <v/>
      </c>
      <c r="AM85" s="4" t="str">
        <f t="shared" si="90"/>
        <v/>
      </c>
      <c r="AN85" s="5"/>
      <c r="AP85" s="6" t="str">
        <f t="shared" si="65"/>
        <v/>
      </c>
      <c r="AQ85" s="10" t="str">
        <f t="shared" si="91"/>
        <v/>
      </c>
      <c r="AR85" s="4" t="str">
        <f t="shared" si="103"/>
        <v/>
      </c>
      <c r="AS85" s="4" t="str">
        <f t="shared" si="92"/>
        <v/>
      </c>
      <c r="AT85" s="4" t="str">
        <f t="shared" si="93"/>
        <v/>
      </c>
      <c r="AU85" s="4" t="str">
        <f t="shared" si="94"/>
        <v/>
      </c>
      <c r="AV85" s="4" t="str">
        <f t="shared" si="95"/>
        <v/>
      </c>
      <c r="AW85" s="4" t="str">
        <f t="shared" si="96"/>
        <v/>
      </c>
      <c r="AZ85" s="6" t="str">
        <f t="shared" si="66"/>
        <v/>
      </c>
      <c r="BA85" s="10" t="str">
        <f t="shared" si="67"/>
        <v/>
      </c>
      <c r="BB85" s="4" t="str">
        <f t="shared" si="104"/>
        <v/>
      </c>
      <c r="BC85" s="4" t="str">
        <f t="shared" si="97"/>
        <v/>
      </c>
      <c r="BD85" s="4" t="str">
        <f t="shared" si="98"/>
        <v/>
      </c>
      <c r="BE85" s="4" t="str">
        <f t="shared" si="99"/>
        <v/>
      </c>
      <c r="BF85" s="4" t="str">
        <f t="shared" si="100"/>
        <v/>
      </c>
      <c r="BG85" s="4" t="str">
        <f t="shared" si="101"/>
        <v/>
      </c>
      <c r="BH85" s="5"/>
      <c r="BI85" s="7" t="str">
        <f t="shared" si="60"/>
        <v/>
      </c>
      <c r="BJ85" s="7" t="str">
        <f t="shared" si="68"/>
        <v/>
      </c>
      <c r="BK85" s="7"/>
      <c r="BM85" s="6">
        <v>51</v>
      </c>
      <c r="BN85" s="5" t="str">
        <f t="shared" si="50"/>
        <v/>
      </c>
      <c r="BO85" s="5" t="str">
        <f t="shared" si="51"/>
        <v/>
      </c>
      <c r="BP85" s="5" t="str">
        <f t="shared" si="52"/>
        <v/>
      </c>
      <c r="BQ85" s="5">
        <f t="shared" si="53"/>
        <v>0</v>
      </c>
      <c r="BR85" s="5" t="str">
        <f t="shared" si="54"/>
        <v/>
      </c>
      <c r="CC85" s="6"/>
      <c r="CD85" s="54"/>
      <c r="CE85" s="55"/>
      <c r="CF85" s="55"/>
      <c r="CG85" s="55"/>
      <c r="CH85" s="55"/>
      <c r="CI85" s="55"/>
      <c r="CJ85" s="55"/>
      <c r="DB85" s="4"/>
    </row>
    <row r="86" spans="1:106" x14ac:dyDescent="0.3">
      <c r="A86" s="9">
        <v>51</v>
      </c>
      <c r="B86" s="6" t="str">
        <f t="shared" si="69"/>
        <v/>
      </c>
      <c r="C86" s="46" t="str">
        <f>IF(A86&lt;=$C$19,'Fechas de pago'!B70,"")</f>
        <v/>
      </c>
      <c r="D86" s="4" t="str">
        <f t="shared" si="70"/>
        <v/>
      </c>
      <c r="E86" s="4" t="str">
        <f t="shared" si="71"/>
        <v/>
      </c>
      <c r="F86" s="4" t="str">
        <f t="shared" si="72"/>
        <v/>
      </c>
      <c r="G86" s="4" t="str">
        <f t="shared" si="73"/>
        <v/>
      </c>
      <c r="H86" s="4" t="str">
        <f t="shared" si="74"/>
        <v/>
      </c>
      <c r="I86" s="4" t="str">
        <f t="shared" si="75"/>
        <v/>
      </c>
      <c r="K86" s="5"/>
      <c r="L86" s="6" t="str">
        <f t="shared" si="64"/>
        <v/>
      </c>
      <c r="M86" s="10" t="str">
        <f t="shared" si="76"/>
        <v/>
      </c>
      <c r="N86" s="4" t="str">
        <f t="shared" si="102"/>
        <v/>
      </c>
      <c r="O86" s="4" t="str">
        <f t="shared" si="77"/>
        <v/>
      </c>
      <c r="P86" s="4" t="str">
        <f t="shared" si="78"/>
        <v/>
      </c>
      <c r="Q86" s="4" t="str">
        <f t="shared" si="79"/>
        <v/>
      </c>
      <c r="R86" s="4" t="str">
        <f t="shared" si="80"/>
        <v/>
      </c>
      <c r="S86" s="4" t="str">
        <f t="shared" si="81"/>
        <v/>
      </c>
      <c r="T86" s="5"/>
      <c r="V86" s="6" t="str">
        <f t="shared" si="21"/>
        <v/>
      </c>
      <c r="W86" s="10" t="str">
        <f t="shared" si="44"/>
        <v/>
      </c>
      <c r="X86" s="4" t="str">
        <f t="shared" si="108"/>
        <v/>
      </c>
      <c r="Y86" s="4" t="str">
        <f t="shared" si="82"/>
        <v/>
      </c>
      <c r="Z86" s="4" t="str">
        <f t="shared" si="83"/>
        <v/>
      </c>
      <c r="AA86" s="4">
        <f t="shared" si="109"/>
        <v>0</v>
      </c>
      <c r="AB86" s="4" t="str">
        <f t="shared" si="84"/>
        <v/>
      </c>
      <c r="AC86" s="4" t="str">
        <f t="shared" si="85"/>
        <v/>
      </c>
      <c r="AD86" s="5"/>
      <c r="AF86" s="6" t="str">
        <f t="shared" si="26"/>
        <v/>
      </c>
      <c r="AG86" s="10" t="str">
        <f t="shared" si="46"/>
        <v/>
      </c>
      <c r="AH86" s="4" t="str">
        <f t="shared" si="110"/>
        <v/>
      </c>
      <c r="AI86" s="4" t="str">
        <f t="shared" si="86"/>
        <v/>
      </c>
      <c r="AJ86" s="4" t="str">
        <f t="shared" si="87"/>
        <v/>
      </c>
      <c r="AK86" s="4" t="str">
        <f t="shared" si="88"/>
        <v/>
      </c>
      <c r="AL86" s="4" t="str">
        <f t="shared" si="89"/>
        <v/>
      </c>
      <c r="AM86" s="4" t="str">
        <f t="shared" si="90"/>
        <v/>
      </c>
      <c r="AN86" s="5"/>
      <c r="AP86" s="6" t="str">
        <f t="shared" si="65"/>
        <v/>
      </c>
      <c r="AQ86" s="10" t="str">
        <f t="shared" si="91"/>
        <v/>
      </c>
      <c r="AR86" s="4" t="str">
        <f t="shared" si="103"/>
        <v/>
      </c>
      <c r="AS86" s="4" t="str">
        <f t="shared" si="92"/>
        <v/>
      </c>
      <c r="AT86" s="4" t="str">
        <f t="shared" si="93"/>
        <v/>
      </c>
      <c r="AU86" s="4" t="str">
        <f t="shared" si="94"/>
        <v/>
      </c>
      <c r="AV86" s="4" t="str">
        <f t="shared" si="95"/>
        <v/>
      </c>
      <c r="AW86" s="4" t="str">
        <f t="shared" si="96"/>
        <v/>
      </c>
      <c r="AZ86" s="6" t="str">
        <f t="shared" si="66"/>
        <v/>
      </c>
      <c r="BA86" s="10" t="str">
        <f t="shared" si="67"/>
        <v/>
      </c>
      <c r="BB86" s="4" t="str">
        <f t="shared" si="104"/>
        <v/>
      </c>
      <c r="BC86" s="4" t="str">
        <f t="shared" si="97"/>
        <v/>
      </c>
      <c r="BD86" s="4" t="str">
        <f t="shared" si="98"/>
        <v/>
      </c>
      <c r="BE86" s="4" t="str">
        <f t="shared" si="99"/>
        <v/>
      </c>
      <c r="BF86" s="4" t="str">
        <f t="shared" si="100"/>
        <v/>
      </c>
      <c r="BG86" s="4" t="str">
        <f t="shared" si="101"/>
        <v/>
      </c>
      <c r="BH86" s="5"/>
      <c r="BI86" s="7" t="str">
        <f t="shared" si="60"/>
        <v/>
      </c>
      <c r="BJ86" s="7" t="str">
        <f t="shared" si="68"/>
        <v/>
      </c>
      <c r="BK86" s="7"/>
      <c r="BM86" s="6">
        <v>52</v>
      </c>
      <c r="BN86" s="5" t="str">
        <f t="shared" si="50"/>
        <v/>
      </c>
      <c r="BO86" s="5" t="str">
        <f t="shared" si="51"/>
        <v/>
      </c>
      <c r="BP86" s="5" t="str">
        <f t="shared" si="52"/>
        <v/>
      </c>
      <c r="BQ86" s="5">
        <f t="shared" si="53"/>
        <v>0</v>
      </c>
      <c r="BR86" s="5" t="str">
        <f t="shared" si="54"/>
        <v/>
      </c>
      <c r="CC86" s="6"/>
      <c r="CD86" s="54"/>
      <c r="CE86" s="55"/>
      <c r="CF86" s="55"/>
      <c r="CG86" s="55"/>
      <c r="CH86" s="55"/>
      <c r="CI86" s="55"/>
      <c r="CJ86" s="55"/>
      <c r="DB86" s="4"/>
    </row>
    <row r="87" spans="1:106" x14ac:dyDescent="0.3">
      <c r="A87" s="9">
        <v>52</v>
      </c>
      <c r="B87" s="6" t="str">
        <f t="shared" si="69"/>
        <v/>
      </c>
      <c r="C87" s="46" t="str">
        <f>IF(A87&lt;=$C$19,'Fechas de pago'!B71,"")</f>
        <v/>
      </c>
      <c r="D87" s="4" t="str">
        <f t="shared" si="70"/>
        <v/>
      </c>
      <c r="E87" s="4" t="str">
        <f t="shared" si="71"/>
        <v/>
      </c>
      <c r="F87" s="4" t="str">
        <f t="shared" si="72"/>
        <v/>
      </c>
      <c r="G87" s="4" t="str">
        <f t="shared" si="73"/>
        <v/>
      </c>
      <c r="H87" s="4" t="str">
        <f t="shared" si="74"/>
        <v/>
      </c>
      <c r="I87" s="4" t="str">
        <f t="shared" si="75"/>
        <v/>
      </c>
      <c r="K87" s="5"/>
      <c r="L87" s="6" t="str">
        <f t="shared" si="64"/>
        <v/>
      </c>
      <c r="M87" s="10" t="str">
        <f t="shared" si="76"/>
        <v/>
      </c>
      <c r="N87" s="4" t="str">
        <f t="shared" si="102"/>
        <v/>
      </c>
      <c r="O87" s="4" t="str">
        <f t="shared" si="77"/>
        <v/>
      </c>
      <c r="P87" s="4" t="str">
        <f t="shared" si="78"/>
        <v/>
      </c>
      <c r="Q87" s="4" t="str">
        <f t="shared" si="79"/>
        <v/>
      </c>
      <c r="R87" s="4" t="str">
        <f t="shared" si="80"/>
        <v/>
      </c>
      <c r="S87" s="4" t="str">
        <f t="shared" si="81"/>
        <v/>
      </c>
      <c r="T87" s="5"/>
      <c r="V87" s="6" t="str">
        <f t="shared" si="21"/>
        <v/>
      </c>
      <c r="W87" s="10" t="str">
        <f t="shared" si="44"/>
        <v/>
      </c>
      <c r="X87" s="4" t="str">
        <f t="shared" si="108"/>
        <v/>
      </c>
      <c r="Y87" s="4" t="str">
        <f t="shared" si="82"/>
        <v/>
      </c>
      <c r="Z87" s="4" t="str">
        <f t="shared" si="83"/>
        <v/>
      </c>
      <c r="AA87" s="4">
        <f t="shared" si="109"/>
        <v>0</v>
      </c>
      <c r="AB87" s="4" t="str">
        <f t="shared" si="84"/>
        <v/>
      </c>
      <c r="AC87" s="4" t="str">
        <f t="shared" si="85"/>
        <v/>
      </c>
      <c r="AD87" s="5"/>
      <c r="AF87" s="6" t="str">
        <f t="shared" si="26"/>
        <v/>
      </c>
      <c r="AG87" s="10" t="str">
        <f t="shared" si="46"/>
        <v/>
      </c>
      <c r="AH87" s="4" t="str">
        <f t="shared" si="110"/>
        <v/>
      </c>
      <c r="AI87" s="4" t="str">
        <f t="shared" si="86"/>
        <v/>
      </c>
      <c r="AJ87" s="4" t="str">
        <f t="shared" si="87"/>
        <v/>
      </c>
      <c r="AK87" s="4" t="str">
        <f t="shared" si="88"/>
        <v/>
      </c>
      <c r="AL87" s="4" t="str">
        <f t="shared" si="89"/>
        <v/>
      </c>
      <c r="AM87" s="4" t="str">
        <f t="shared" si="90"/>
        <v/>
      </c>
      <c r="AN87" s="5"/>
      <c r="AP87" s="6" t="str">
        <f t="shared" si="65"/>
        <v/>
      </c>
      <c r="AQ87" s="10" t="str">
        <f t="shared" si="91"/>
        <v/>
      </c>
      <c r="AR87" s="4" t="str">
        <f t="shared" si="103"/>
        <v/>
      </c>
      <c r="AS87" s="4" t="str">
        <f t="shared" si="92"/>
        <v/>
      </c>
      <c r="AT87" s="4" t="str">
        <f t="shared" si="93"/>
        <v/>
      </c>
      <c r="AU87" s="4" t="str">
        <f t="shared" si="94"/>
        <v/>
      </c>
      <c r="AV87" s="4" t="str">
        <f t="shared" si="95"/>
        <v/>
      </c>
      <c r="AW87" s="4" t="str">
        <f t="shared" si="96"/>
        <v/>
      </c>
      <c r="AZ87" s="6" t="str">
        <f t="shared" si="66"/>
        <v/>
      </c>
      <c r="BA87" s="10" t="str">
        <f t="shared" si="67"/>
        <v/>
      </c>
      <c r="BB87" s="4" t="str">
        <f t="shared" si="104"/>
        <v/>
      </c>
      <c r="BC87" s="4" t="str">
        <f t="shared" si="97"/>
        <v/>
      </c>
      <c r="BD87" s="4" t="str">
        <f t="shared" si="98"/>
        <v/>
      </c>
      <c r="BE87" s="4" t="str">
        <f t="shared" si="99"/>
        <v/>
      </c>
      <c r="BF87" s="4" t="str">
        <f t="shared" si="100"/>
        <v/>
      </c>
      <c r="BG87" s="4" t="str">
        <f t="shared" si="101"/>
        <v/>
      </c>
      <c r="BH87" s="5"/>
      <c r="BI87" s="7" t="str">
        <f t="shared" si="60"/>
        <v/>
      </c>
      <c r="BJ87" s="7" t="str">
        <f t="shared" si="68"/>
        <v/>
      </c>
      <c r="BK87" s="7"/>
      <c r="BM87" s="6">
        <v>53</v>
      </c>
      <c r="BN87" s="5" t="str">
        <f t="shared" si="50"/>
        <v/>
      </c>
      <c r="BO87" s="5" t="str">
        <f t="shared" si="51"/>
        <v/>
      </c>
      <c r="BP87" s="5" t="str">
        <f t="shared" si="52"/>
        <v/>
      </c>
      <c r="BQ87" s="5">
        <f t="shared" si="53"/>
        <v>0</v>
      </c>
      <c r="BR87" s="5" t="str">
        <f t="shared" si="54"/>
        <v/>
      </c>
      <c r="CC87" s="6"/>
      <c r="CD87" s="54"/>
      <c r="CE87" s="55"/>
      <c r="CF87" s="55"/>
      <c r="CG87" s="55"/>
      <c r="CH87" s="55"/>
      <c r="CI87" s="55"/>
      <c r="CJ87" s="55"/>
      <c r="DB87" s="4"/>
    </row>
    <row r="88" spans="1:106" x14ac:dyDescent="0.3">
      <c r="A88" s="9">
        <v>53</v>
      </c>
      <c r="B88" s="6" t="str">
        <f t="shared" si="69"/>
        <v/>
      </c>
      <c r="C88" s="46" t="str">
        <f>IF(A88&lt;=$C$19,'Fechas de pago'!B72,"")</f>
        <v/>
      </c>
      <c r="D88" s="4" t="str">
        <f t="shared" si="70"/>
        <v/>
      </c>
      <c r="E88" s="4" t="str">
        <f t="shared" si="71"/>
        <v/>
      </c>
      <c r="F88" s="4" t="str">
        <f t="shared" si="72"/>
        <v/>
      </c>
      <c r="G88" s="4" t="str">
        <f t="shared" si="73"/>
        <v/>
      </c>
      <c r="H88" s="4" t="str">
        <f t="shared" si="74"/>
        <v/>
      </c>
      <c r="I88" s="4" t="str">
        <f t="shared" si="75"/>
        <v/>
      </c>
      <c r="K88" s="5"/>
      <c r="L88" s="6" t="str">
        <f t="shared" si="64"/>
        <v/>
      </c>
      <c r="M88" s="10" t="str">
        <f t="shared" si="76"/>
        <v/>
      </c>
      <c r="N88" s="4" t="str">
        <f t="shared" si="102"/>
        <v/>
      </c>
      <c r="O88" s="4" t="str">
        <f t="shared" si="77"/>
        <v/>
      </c>
      <c r="P88" s="4" t="str">
        <f t="shared" si="78"/>
        <v/>
      </c>
      <c r="Q88" s="4" t="str">
        <f t="shared" si="79"/>
        <v/>
      </c>
      <c r="R88" s="4" t="str">
        <f t="shared" si="80"/>
        <v/>
      </c>
      <c r="S88" s="4" t="str">
        <f t="shared" si="81"/>
        <v/>
      </c>
      <c r="T88" s="5"/>
      <c r="V88" s="6" t="str">
        <f t="shared" si="21"/>
        <v/>
      </c>
      <c r="W88" s="10" t="str">
        <f t="shared" si="44"/>
        <v/>
      </c>
      <c r="X88" s="4" t="str">
        <f t="shared" si="108"/>
        <v/>
      </c>
      <c r="Y88" s="4" t="str">
        <f t="shared" si="82"/>
        <v/>
      </c>
      <c r="Z88" s="4" t="str">
        <f t="shared" si="83"/>
        <v/>
      </c>
      <c r="AA88" s="4">
        <f t="shared" si="109"/>
        <v>0</v>
      </c>
      <c r="AB88" s="4" t="str">
        <f t="shared" si="84"/>
        <v/>
      </c>
      <c r="AC88" s="4" t="str">
        <f t="shared" si="85"/>
        <v/>
      </c>
      <c r="AD88" s="5"/>
      <c r="AF88" s="6" t="str">
        <f t="shared" si="26"/>
        <v/>
      </c>
      <c r="AG88" s="10" t="str">
        <f t="shared" si="46"/>
        <v/>
      </c>
      <c r="AH88" s="4" t="str">
        <f t="shared" si="110"/>
        <v/>
      </c>
      <c r="AI88" s="4" t="str">
        <f t="shared" si="86"/>
        <v/>
      </c>
      <c r="AJ88" s="4" t="str">
        <f t="shared" si="87"/>
        <v/>
      </c>
      <c r="AK88" s="4" t="str">
        <f t="shared" si="88"/>
        <v/>
      </c>
      <c r="AL88" s="4" t="str">
        <f t="shared" si="89"/>
        <v/>
      </c>
      <c r="AM88" s="4" t="str">
        <f t="shared" si="90"/>
        <v/>
      </c>
      <c r="AN88" s="5"/>
      <c r="AP88" s="6" t="str">
        <f t="shared" si="65"/>
        <v/>
      </c>
      <c r="AQ88" s="10" t="str">
        <f t="shared" si="91"/>
        <v/>
      </c>
      <c r="AR88" s="4" t="str">
        <f t="shared" si="103"/>
        <v/>
      </c>
      <c r="AS88" s="4" t="str">
        <f t="shared" si="92"/>
        <v/>
      </c>
      <c r="AT88" s="4" t="str">
        <f t="shared" si="93"/>
        <v/>
      </c>
      <c r="AU88" s="4" t="str">
        <f t="shared" si="94"/>
        <v/>
      </c>
      <c r="AV88" s="4" t="str">
        <f t="shared" si="95"/>
        <v/>
      </c>
      <c r="AW88" s="4" t="str">
        <f t="shared" si="96"/>
        <v/>
      </c>
      <c r="AZ88" s="6" t="str">
        <f t="shared" si="66"/>
        <v/>
      </c>
      <c r="BA88" s="10" t="str">
        <f t="shared" si="67"/>
        <v/>
      </c>
      <c r="BB88" s="4" t="str">
        <f t="shared" si="104"/>
        <v/>
      </c>
      <c r="BC88" s="4" t="str">
        <f t="shared" si="97"/>
        <v/>
      </c>
      <c r="BD88" s="4" t="str">
        <f t="shared" si="98"/>
        <v/>
      </c>
      <c r="BE88" s="4" t="str">
        <f t="shared" si="99"/>
        <v/>
      </c>
      <c r="BF88" s="4" t="str">
        <f t="shared" si="100"/>
        <v/>
      </c>
      <c r="BG88" s="4" t="str">
        <f t="shared" si="101"/>
        <v/>
      </c>
      <c r="BH88" s="5"/>
      <c r="BI88" s="7" t="str">
        <f t="shared" si="60"/>
        <v/>
      </c>
      <c r="BJ88" s="7" t="str">
        <f t="shared" si="68"/>
        <v/>
      </c>
      <c r="BK88" s="7"/>
      <c r="BM88" s="6">
        <v>54</v>
      </c>
      <c r="BN88" s="5" t="str">
        <f t="shared" si="50"/>
        <v/>
      </c>
      <c r="BO88" s="5" t="str">
        <f t="shared" si="51"/>
        <v/>
      </c>
      <c r="BP88" s="5" t="str">
        <f t="shared" si="52"/>
        <v/>
      </c>
      <c r="BQ88" s="5">
        <f t="shared" si="53"/>
        <v>0</v>
      </c>
      <c r="BR88" s="5" t="str">
        <f t="shared" si="54"/>
        <v/>
      </c>
      <c r="CC88" s="6"/>
      <c r="CD88" s="54"/>
      <c r="CE88" s="55"/>
      <c r="CF88" s="55"/>
      <c r="CG88" s="55"/>
      <c r="CH88" s="55"/>
      <c r="CI88" s="55"/>
      <c r="CJ88" s="55"/>
      <c r="DB88" s="4"/>
    </row>
    <row r="89" spans="1:106" x14ac:dyDescent="0.3">
      <c r="A89" s="9">
        <v>54</v>
      </c>
      <c r="B89" s="6" t="str">
        <f t="shared" si="69"/>
        <v/>
      </c>
      <c r="C89" s="46" t="str">
        <f>IF(A89&lt;=$C$19,'Fechas de pago'!B73,"")</f>
        <v/>
      </c>
      <c r="D89" s="4" t="str">
        <f t="shared" si="70"/>
        <v/>
      </c>
      <c r="E89" s="4" t="str">
        <f t="shared" si="71"/>
        <v/>
      </c>
      <c r="F89" s="4" t="str">
        <f t="shared" si="72"/>
        <v/>
      </c>
      <c r="G89" s="4" t="str">
        <f t="shared" si="73"/>
        <v/>
      </c>
      <c r="H89" s="4" t="str">
        <f t="shared" si="74"/>
        <v/>
      </c>
      <c r="I89" s="4" t="str">
        <f t="shared" si="75"/>
        <v/>
      </c>
      <c r="K89" s="5"/>
      <c r="L89" s="6" t="str">
        <f t="shared" si="64"/>
        <v/>
      </c>
      <c r="M89" s="10" t="str">
        <f t="shared" si="76"/>
        <v/>
      </c>
      <c r="N89" s="4" t="str">
        <f t="shared" si="102"/>
        <v/>
      </c>
      <c r="O89" s="4" t="str">
        <f t="shared" si="77"/>
        <v/>
      </c>
      <c r="P89" s="4" t="str">
        <f t="shared" si="78"/>
        <v/>
      </c>
      <c r="Q89" s="4" t="str">
        <f t="shared" si="79"/>
        <v/>
      </c>
      <c r="R89" s="4" t="str">
        <f t="shared" si="80"/>
        <v/>
      </c>
      <c r="S89" s="4" t="str">
        <f t="shared" si="81"/>
        <v/>
      </c>
      <c r="T89" s="5"/>
      <c r="V89" s="6" t="str">
        <f t="shared" si="21"/>
        <v/>
      </c>
      <c r="W89" s="10" t="str">
        <f t="shared" si="44"/>
        <v/>
      </c>
      <c r="X89" s="4" t="str">
        <f t="shared" si="108"/>
        <v/>
      </c>
      <c r="Y89" s="4" t="str">
        <f t="shared" si="82"/>
        <v/>
      </c>
      <c r="Z89" s="4" t="str">
        <f t="shared" si="83"/>
        <v/>
      </c>
      <c r="AA89" s="4">
        <f t="shared" si="109"/>
        <v>0</v>
      </c>
      <c r="AB89" s="4" t="str">
        <f t="shared" si="84"/>
        <v/>
      </c>
      <c r="AC89" s="4" t="str">
        <f t="shared" si="85"/>
        <v/>
      </c>
      <c r="AD89" s="5"/>
      <c r="AF89" s="6" t="str">
        <f t="shared" si="26"/>
        <v/>
      </c>
      <c r="AG89" s="10" t="str">
        <f t="shared" si="46"/>
        <v/>
      </c>
      <c r="AH89" s="4" t="str">
        <f t="shared" si="110"/>
        <v/>
      </c>
      <c r="AI89" s="4" t="str">
        <f t="shared" si="86"/>
        <v/>
      </c>
      <c r="AJ89" s="4" t="str">
        <f t="shared" si="87"/>
        <v/>
      </c>
      <c r="AK89" s="4" t="str">
        <f t="shared" si="88"/>
        <v/>
      </c>
      <c r="AL89" s="4" t="str">
        <f t="shared" si="89"/>
        <v/>
      </c>
      <c r="AM89" s="4" t="str">
        <f t="shared" si="90"/>
        <v/>
      </c>
      <c r="AN89" s="5"/>
      <c r="AP89" s="6" t="str">
        <f t="shared" si="65"/>
        <v/>
      </c>
      <c r="AQ89" s="10" t="str">
        <f t="shared" si="91"/>
        <v/>
      </c>
      <c r="AR89" s="4" t="str">
        <f t="shared" si="103"/>
        <v/>
      </c>
      <c r="AS89" s="4" t="str">
        <f t="shared" si="92"/>
        <v/>
      </c>
      <c r="AT89" s="4" t="str">
        <f t="shared" si="93"/>
        <v/>
      </c>
      <c r="AU89" s="4" t="str">
        <f t="shared" si="94"/>
        <v/>
      </c>
      <c r="AV89" s="4" t="str">
        <f t="shared" si="95"/>
        <v/>
      </c>
      <c r="AW89" s="4" t="str">
        <f t="shared" si="96"/>
        <v/>
      </c>
      <c r="AZ89" s="6" t="str">
        <f t="shared" si="66"/>
        <v/>
      </c>
      <c r="BA89" s="10" t="str">
        <f t="shared" si="67"/>
        <v/>
      </c>
      <c r="BB89" s="4" t="str">
        <f t="shared" si="104"/>
        <v/>
      </c>
      <c r="BC89" s="4" t="str">
        <f t="shared" si="97"/>
        <v/>
      </c>
      <c r="BD89" s="4" t="str">
        <f t="shared" si="98"/>
        <v/>
      </c>
      <c r="BE89" s="4" t="str">
        <f t="shared" si="99"/>
        <v/>
      </c>
      <c r="BF89" s="4" t="str">
        <f t="shared" si="100"/>
        <v/>
      </c>
      <c r="BG89" s="4" t="str">
        <f t="shared" si="101"/>
        <v/>
      </c>
      <c r="BH89" s="5"/>
      <c r="BI89" s="7" t="str">
        <f t="shared" si="60"/>
        <v/>
      </c>
      <c r="BJ89" s="7" t="str">
        <f t="shared" si="68"/>
        <v/>
      </c>
      <c r="BK89" s="7"/>
      <c r="BM89" s="6">
        <v>55</v>
      </c>
      <c r="BN89" s="5" t="str">
        <f t="shared" si="50"/>
        <v/>
      </c>
      <c r="BO89" s="5" t="str">
        <f t="shared" si="51"/>
        <v/>
      </c>
      <c r="BP89" s="5" t="str">
        <f t="shared" si="52"/>
        <v/>
      </c>
      <c r="BQ89" s="5">
        <f t="shared" si="53"/>
        <v>0</v>
      </c>
      <c r="BR89" s="5" t="str">
        <f t="shared" si="54"/>
        <v/>
      </c>
      <c r="CC89" s="6"/>
      <c r="CD89" s="54"/>
      <c r="CE89" s="55"/>
      <c r="CF89" s="55"/>
      <c r="CG89" s="55"/>
      <c r="CH89" s="55"/>
      <c r="CI89" s="55"/>
      <c r="CJ89" s="55"/>
      <c r="DB89" s="4"/>
    </row>
    <row r="90" spans="1:106" x14ac:dyDescent="0.3">
      <c r="A90" s="9">
        <v>55</v>
      </c>
      <c r="B90" s="6" t="str">
        <f t="shared" si="69"/>
        <v/>
      </c>
      <c r="C90" s="46" t="str">
        <f>IF(A90&lt;=$C$19,'Fechas de pago'!B74,"")</f>
        <v/>
      </c>
      <c r="D90" s="4" t="str">
        <f t="shared" si="70"/>
        <v/>
      </c>
      <c r="E90" s="4" t="str">
        <f t="shared" si="71"/>
        <v/>
      </c>
      <c r="F90" s="4" t="str">
        <f t="shared" si="72"/>
        <v/>
      </c>
      <c r="G90" s="4" t="str">
        <f t="shared" si="73"/>
        <v/>
      </c>
      <c r="H90" s="4" t="str">
        <f t="shared" si="74"/>
        <v/>
      </c>
      <c r="I90" s="4" t="str">
        <f t="shared" si="75"/>
        <v/>
      </c>
      <c r="K90" s="5"/>
      <c r="L90" s="6" t="str">
        <f t="shared" si="64"/>
        <v/>
      </c>
      <c r="M90" s="10" t="str">
        <f t="shared" si="76"/>
        <v/>
      </c>
      <c r="N90" s="4" t="str">
        <f t="shared" si="102"/>
        <v/>
      </c>
      <c r="O90" s="4" t="str">
        <f t="shared" si="77"/>
        <v/>
      </c>
      <c r="P90" s="4" t="str">
        <f t="shared" si="78"/>
        <v/>
      </c>
      <c r="Q90" s="4" t="str">
        <f t="shared" si="79"/>
        <v/>
      </c>
      <c r="R90" s="4" t="str">
        <f t="shared" si="80"/>
        <v/>
      </c>
      <c r="S90" s="4" t="str">
        <f t="shared" si="81"/>
        <v/>
      </c>
      <c r="T90" s="5"/>
      <c r="V90" s="6" t="str">
        <f t="shared" si="21"/>
        <v/>
      </c>
      <c r="W90" s="10" t="str">
        <f t="shared" si="44"/>
        <v/>
      </c>
      <c r="X90" s="4" t="str">
        <f t="shared" si="108"/>
        <v/>
      </c>
      <c r="Y90" s="4" t="str">
        <f t="shared" si="82"/>
        <v/>
      </c>
      <c r="Z90" s="4" t="str">
        <f t="shared" si="83"/>
        <v/>
      </c>
      <c r="AA90" s="4">
        <f t="shared" si="109"/>
        <v>0</v>
      </c>
      <c r="AB90" s="4" t="str">
        <f t="shared" si="84"/>
        <v/>
      </c>
      <c r="AC90" s="4" t="str">
        <f t="shared" si="85"/>
        <v/>
      </c>
      <c r="AD90" s="5"/>
      <c r="AF90" s="6" t="str">
        <f t="shared" si="26"/>
        <v/>
      </c>
      <c r="AG90" s="10" t="str">
        <f t="shared" si="46"/>
        <v/>
      </c>
      <c r="AH90" s="4" t="str">
        <f t="shared" si="110"/>
        <v/>
      </c>
      <c r="AI90" s="4" t="str">
        <f t="shared" si="86"/>
        <v/>
      </c>
      <c r="AJ90" s="4" t="str">
        <f t="shared" si="87"/>
        <v/>
      </c>
      <c r="AK90" s="4" t="str">
        <f t="shared" si="88"/>
        <v/>
      </c>
      <c r="AL90" s="4" t="str">
        <f t="shared" si="89"/>
        <v/>
      </c>
      <c r="AM90" s="4" t="str">
        <f t="shared" si="90"/>
        <v/>
      </c>
      <c r="AN90" s="5"/>
      <c r="AP90" s="6" t="str">
        <f t="shared" si="65"/>
        <v/>
      </c>
      <c r="AQ90" s="10" t="str">
        <f t="shared" si="91"/>
        <v/>
      </c>
      <c r="AR90" s="4" t="str">
        <f t="shared" si="103"/>
        <v/>
      </c>
      <c r="AS90" s="4" t="str">
        <f t="shared" si="92"/>
        <v/>
      </c>
      <c r="AT90" s="4" t="str">
        <f t="shared" si="93"/>
        <v/>
      </c>
      <c r="AU90" s="4" t="str">
        <f t="shared" si="94"/>
        <v/>
      </c>
      <c r="AV90" s="4" t="str">
        <f t="shared" si="95"/>
        <v/>
      </c>
      <c r="AW90" s="4" t="str">
        <f t="shared" si="96"/>
        <v/>
      </c>
      <c r="AZ90" s="6" t="str">
        <f t="shared" si="66"/>
        <v/>
      </c>
      <c r="BA90" s="10" t="str">
        <f t="shared" si="67"/>
        <v/>
      </c>
      <c r="BB90" s="4" t="str">
        <f t="shared" si="104"/>
        <v/>
      </c>
      <c r="BC90" s="4" t="str">
        <f t="shared" si="97"/>
        <v/>
      </c>
      <c r="BD90" s="4" t="str">
        <f t="shared" si="98"/>
        <v/>
      </c>
      <c r="BE90" s="4" t="str">
        <f t="shared" si="99"/>
        <v/>
      </c>
      <c r="BF90" s="4" t="str">
        <f t="shared" si="100"/>
        <v/>
      </c>
      <c r="BG90" s="4" t="str">
        <f t="shared" si="101"/>
        <v/>
      </c>
      <c r="BH90" s="5"/>
      <c r="BI90" s="7" t="str">
        <f t="shared" si="60"/>
        <v/>
      </c>
      <c r="BJ90" s="7" t="str">
        <f t="shared" si="68"/>
        <v/>
      </c>
      <c r="BK90" s="7"/>
      <c r="BM90" s="6">
        <v>56</v>
      </c>
      <c r="BN90" s="5" t="str">
        <f t="shared" si="50"/>
        <v/>
      </c>
      <c r="BO90" s="5" t="str">
        <f t="shared" si="51"/>
        <v/>
      </c>
      <c r="BP90" s="5" t="str">
        <f t="shared" si="52"/>
        <v/>
      </c>
      <c r="BQ90" s="5">
        <f t="shared" si="53"/>
        <v>0</v>
      </c>
      <c r="BR90" s="5" t="str">
        <f t="shared" si="54"/>
        <v/>
      </c>
      <c r="CC90" s="6"/>
      <c r="CD90" s="54"/>
      <c r="CE90" s="55"/>
      <c r="CF90" s="55"/>
      <c r="CG90" s="55"/>
      <c r="CH90" s="55"/>
      <c r="CI90" s="55"/>
      <c r="CJ90" s="55"/>
      <c r="DB90" s="4"/>
    </row>
    <row r="91" spans="1:106" x14ac:dyDescent="0.3">
      <c r="A91" s="9">
        <v>56</v>
      </c>
      <c r="B91" s="6" t="str">
        <f t="shared" si="69"/>
        <v/>
      </c>
      <c r="C91" s="46" t="str">
        <f>IF(A91&lt;=$C$19,'Fechas de pago'!B75,"")</f>
        <v/>
      </c>
      <c r="D91" s="4" t="str">
        <f t="shared" si="70"/>
        <v/>
      </c>
      <c r="E91" s="4" t="str">
        <f t="shared" si="71"/>
        <v/>
      </c>
      <c r="F91" s="4" t="str">
        <f t="shared" si="72"/>
        <v/>
      </c>
      <c r="G91" s="4" t="str">
        <f t="shared" si="73"/>
        <v/>
      </c>
      <c r="H91" s="4" t="str">
        <f t="shared" si="74"/>
        <v/>
      </c>
      <c r="I91" s="4" t="str">
        <f t="shared" si="75"/>
        <v/>
      </c>
      <c r="K91" s="5"/>
      <c r="L91" s="6" t="str">
        <f t="shared" si="64"/>
        <v/>
      </c>
      <c r="M91" s="10" t="str">
        <f t="shared" si="76"/>
        <v/>
      </c>
      <c r="N91" s="4" t="str">
        <f t="shared" si="102"/>
        <v/>
      </c>
      <c r="O91" s="4" t="str">
        <f t="shared" si="77"/>
        <v/>
      </c>
      <c r="P91" s="4" t="str">
        <f t="shared" si="78"/>
        <v/>
      </c>
      <c r="Q91" s="4" t="str">
        <f t="shared" si="79"/>
        <v/>
      </c>
      <c r="R91" s="4" t="str">
        <f t="shared" si="80"/>
        <v/>
      </c>
      <c r="S91" s="4" t="str">
        <f t="shared" si="81"/>
        <v/>
      </c>
      <c r="T91" s="5"/>
      <c r="V91" s="6" t="str">
        <f t="shared" si="21"/>
        <v/>
      </c>
      <c r="W91" s="10" t="str">
        <f t="shared" si="44"/>
        <v/>
      </c>
      <c r="X91" s="4" t="str">
        <f t="shared" si="108"/>
        <v/>
      </c>
      <c r="Y91" s="4" t="str">
        <f t="shared" si="82"/>
        <v/>
      </c>
      <c r="Z91" s="4" t="str">
        <f t="shared" si="83"/>
        <v/>
      </c>
      <c r="AA91" s="4">
        <f t="shared" si="109"/>
        <v>0</v>
      </c>
      <c r="AB91" s="4" t="str">
        <f t="shared" si="84"/>
        <v/>
      </c>
      <c r="AC91" s="4" t="str">
        <f t="shared" si="85"/>
        <v/>
      </c>
      <c r="AD91" s="5"/>
      <c r="AF91" s="6" t="str">
        <f t="shared" si="26"/>
        <v/>
      </c>
      <c r="AG91" s="10" t="str">
        <f t="shared" si="46"/>
        <v/>
      </c>
      <c r="AH91" s="4" t="str">
        <f t="shared" si="110"/>
        <v/>
      </c>
      <c r="AI91" s="4" t="str">
        <f t="shared" si="86"/>
        <v/>
      </c>
      <c r="AJ91" s="4" t="str">
        <f t="shared" si="87"/>
        <v/>
      </c>
      <c r="AK91" s="4" t="str">
        <f t="shared" si="88"/>
        <v/>
      </c>
      <c r="AL91" s="4" t="str">
        <f t="shared" si="89"/>
        <v/>
      </c>
      <c r="AM91" s="4" t="str">
        <f t="shared" si="90"/>
        <v/>
      </c>
      <c r="AN91" s="5"/>
      <c r="AP91" s="6" t="str">
        <f t="shared" si="65"/>
        <v/>
      </c>
      <c r="AQ91" s="10" t="str">
        <f t="shared" si="91"/>
        <v/>
      </c>
      <c r="AR91" s="4" t="str">
        <f t="shared" si="103"/>
        <v/>
      </c>
      <c r="AS91" s="4" t="str">
        <f t="shared" si="92"/>
        <v/>
      </c>
      <c r="AT91" s="4" t="str">
        <f t="shared" si="93"/>
        <v/>
      </c>
      <c r="AU91" s="4" t="str">
        <f t="shared" si="94"/>
        <v/>
      </c>
      <c r="AV91" s="4" t="str">
        <f t="shared" si="95"/>
        <v/>
      </c>
      <c r="AW91" s="4" t="str">
        <f t="shared" si="96"/>
        <v/>
      </c>
      <c r="AZ91" s="6" t="str">
        <f t="shared" si="66"/>
        <v/>
      </c>
      <c r="BA91" s="10" t="str">
        <f t="shared" si="67"/>
        <v/>
      </c>
      <c r="BB91" s="4" t="str">
        <f t="shared" si="104"/>
        <v/>
      </c>
      <c r="BC91" s="4" t="str">
        <f t="shared" si="97"/>
        <v/>
      </c>
      <c r="BD91" s="4" t="str">
        <f t="shared" si="98"/>
        <v/>
      </c>
      <c r="BE91" s="4" t="str">
        <f t="shared" si="99"/>
        <v/>
      </c>
      <c r="BF91" s="4" t="str">
        <f t="shared" si="100"/>
        <v/>
      </c>
      <c r="BG91" s="4" t="str">
        <f t="shared" si="101"/>
        <v/>
      </c>
      <c r="BH91" s="5"/>
      <c r="BI91" s="7" t="str">
        <f t="shared" si="60"/>
        <v/>
      </c>
      <c r="BJ91" s="7" t="str">
        <f t="shared" si="68"/>
        <v/>
      </c>
      <c r="BK91" s="7"/>
      <c r="BM91" s="6">
        <v>57</v>
      </c>
      <c r="BN91" s="5" t="str">
        <f t="shared" si="50"/>
        <v/>
      </c>
      <c r="BO91" s="5" t="str">
        <f t="shared" si="51"/>
        <v/>
      </c>
      <c r="BP91" s="5" t="str">
        <f t="shared" si="52"/>
        <v/>
      </c>
      <c r="BQ91" s="5">
        <f t="shared" si="53"/>
        <v>0</v>
      </c>
      <c r="BR91" s="5" t="str">
        <f t="shared" si="54"/>
        <v/>
      </c>
      <c r="CC91" s="6"/>
      <c r="CD91" s="54"/>
      <c r="CE91" s="55"/>
      <c r="CF91" s="55"/>
      <c r="CG91" s="55"/>
      <c r="CH91" s="55"/>
      <c r="CI91" s="55"/>
      <c r="CJ91" s="55"/>
      <c r="DB91" s="4"/>
    </row>
    <row r="92" spans="1:106" x14ac:dyDescent="0.3">
      <c r="A92" s="9">
        <v>57</v>
      </c>
      <c r="B92" s="6" t="str">
        <f t="shared" si="69"/>
        <v/>
      </c>
      <c r="C92" s="46" t="str">
        <f>IF(A92&lt;=$C$19,'Fechas de pago'!B76,"")</f>
        <v/>
      </c>
      <c r="D92" s="4" t="str">
        <f t="shared" si="70"/>
        <v/>
      </c>
      <c r="E92" s="4" t="str">
        <f t="shared" si="71"/>
        <v/>
      </c>
      <c r="F92" s="4" t="str">
        <f t="shared" si="72"/>
        <v/>
      </c>
      <c r="G92" s="4" t="str">
        <f t="shared" si="73"/>
        <v/>
      </c>
      <c r="H92" s="4" t="str">
        <f t="shared" si="74"/>
        <v/>
      </c>
      <c r="I92" s="4" t="str">
        <f t="shared" si="75"/>
        <v/>
      </c>
      <c r="K92" s="5"/>
      <c r="L92" s="6" t="str">
        <f t="shared" si="64"/>
        <v/>
      </c>
      <c r="M92" s="10" t="str">
        <f t="shared" si="76"/>
        <v/>
      </c>
      <c r="N92" s="4" t="str">
        <f t="shared" si="102"/>
        <v/>
      </c>
      <c r="O92" s="4" t="str">
        <f t="shared" si="77"/>
        <v/>
      </c>
      <c r="P92" s="4" t="str">
        <f t="shared" si="78"/>
        <v/>
      </c>
      <c r="Q92" s="4" t="str">
        <f t="shared" si="79"/>
        <v/>
      </c>
      <c r="R92" s="4" t="str">
        <f t="shared" si="80"/>
        <v/>
      </c>
      <c r="S92" s="4" t="str">
        <f t="shared" si="81"/>
        <v/>
      </c>
      <c r="T92" s="5"/>
      <c r="V92" s="6" t="str">
        <f t="shared" si="21"/>
        <v/>
      </c>
      <c r="W92" s="10" t="str">
        <f t="shared" si="44"/>
        <v/>
      </c>
      <c r="X92" s="4" t="str">
        <f t="shared" si="108"/>
        <v/>
      </c>
      <c r="Y92" s="4" t="str">
        <f t="shared" si="82"/>
        <v/>
      </c>
      <c r="Z92" s="4" t="str">
        <f t="shared" si="83"/>
        <v/>
      </c>
      <c r="AA92" s="4">
        <f t="shared" si="109"/>
        <v>0</v>
      </c>
      <c r="AB92" s="4" t="str">
        <f t="shared" si="84"/>
        <v/>
      </c>
      <c r="AC92" s="4" t="str">
        <f t="shared" si="85"/>
        <v/>
      </c>
      <c r="AD92" s="5"/>
      <c r="AF92" s="6" t="str">
        <f t="shared" si="26"/>
        <v/>
      </c>
      <c r="AG92" s="10" t="str">
        <f t="shared" si="46"/>
        <v/>
      </c>
      <c r="AH92" s="4" t="str">
        <f t="shared" si="110"/>
        <v/>
      </c>
      <c r="AI92" s="4" t="str">
        <f t="shared" si="86"/>
        <v/>
      </c>
      <c r="AJ92" s="4" t="str">
        <f t="shared" si="87"/>
        <v/>
      </c>
      <c r="AK92" s="4" t="str">
        <f t="shared" si="88"/>
        <v/>
      </c>
      <c r="AL92" s="4" t="str">
        <f t="shared" si="89"/>
        <v/>
      </c>
      <c r="AM92" s="4" t="str">
        <f t="shared" si="90"/>
        <v/>
      </c>
      <c r="AN92" s="5"/>
      <c r="AP92" s="6" t="str">
        <f t="shared" si="65"/>
        <v/>
      </c>
      <c r="AQ92" s="10" t="str">
        <f t="shared" si="91"/>
        <v/>
      </c>
      <c r="AR92" s="4" t="str">
        <f t="shared" si="103"/>
        <v/>
      </c>
      <c r="AS92" s="4" t="str">
        <f t="shared" si="92"/>
        <v/>
      </c>
      <c r="AT92" s="4" t="str">
        <f t="shared" si="93"/>
        <v/>
      </c>
      <c r="AU92" s="4" t="str">
        <f t="shared" si="94"/>
        <v/>
      </c>
      <c r="AV92" s="4" t="str">
        <f t="shared" si="95"/>
        <v/>
      </c>
      <c r="AW92" s="4" t="str">
        <f t="shared" si="96"/>
        <v/>
      </c>
      <c r="AZ92" s="6" t="str">
        <f t="shared" si="66"/>
        <v/>
      </c>
      <c r="BA92" s="10" t="str">
        <f t="shared" si="67"/>
        <v/>
      </c>
      <c r="BB92" s="4" t="str">
        <f t="shared" si="104"/>
        <v/>
      </c>
      <c r="BC92" s="4" t="str">
        <f t="shared" si="97"/>
        <v/>
      </c>
      <c r="BD92" s="4" t="str">
        <f t="shared" si="98"/>
        <v/>
      </c>
      <c r="BE92" s="4" t="str">
        <f t="shared" si="99"/>
        <v/>
      </c>
      <c r="BF92" s="4" t="str">
        <f t="shared" si="100"/>
        <v/>
      </c>
      <c r="BG92" s="4" t="str">
        <f t="shared" si="101"/>
        <v/>
      </c>
      <c r="BH92" s="5"/>
      <c r="BI92" s="7" t="str">
        <f t="shared" si="60"/>
        <v/>
      </c>
      <c r="BJ92" s="7" t="str">
        <f t="shared" si="68"/>
        <v/>
      </c>
      <c r="BK92" s="7"/>
      <c r="BM92" s="6">
        <v>58</v>
      </c>
      <c r="BN92" s="5" t="str">
        <f t="shared" si="50"/>
        <v/>
      </c>
      <c r="BO92" s="5" t="str">
        <f t="shared" si="51"/>
        <v/>
      </c>
      <c r="BP92" s="5" t="str">
        <f t="shared" si="52"/>
        <v/>
      </c>
      <c r="BQ92" s="5">
        <f t="shared" si="53"/>
        <v>0</v>
      </c>
      <c r="BR92" s="5" t="str">
        <f t="shared" si="54"/>
        <v/>
      </c>
      <c r="CC92" s="6"/>
      <c r="CD92" s="54"/>
      <c r="CE92" s="55"/>
      <c r="CF92" s="55"/>
      <c r="CG92" s="55"/>
      <c r="CH92" s="55"/>
      <c r="CI92" s="55"/>
      <c r="CJ92" s="55"/>
      <c r="DB92" s="4"/>
    </row>
    <row r="93" spans="1:106" x14ac:dyDescent="0.3">
      <c r="A93" s="9">
        <v>58</v>
      </c>
      <c r="B93" s="6" t="str">
        <f t="shared" si="69"/>
        <v/>
      </c>
      <c r="C93" s="46" t="str">
        <f>IF(A93&lt;=$C$19,'Fechas de pago'!B77,"")</f>
        <v/>
      </c>
      <c r="D93" s="4" t="str">
        <f t="shared" si="70"/>
        <v/>
      </c>
      <c r="E93" s="4" t="str">
        <f t="shared" si="71"/>
        <v/>
      </c>
      <c r="F93" s="4" t="str">
        <f t="shared" si="72"/>
        <v/>
      </c>
      <c r="G93" s="4" t="str">
        <f t="shared" si="73"/>
        <v/>
      </c>
      <c r="H93" s="4" t="str">
        <f t="shared" si="74"/>
        <v/>
      </c>
      <c r="I93" s="4" t="str">
        <f t="shared" si="75"/>
        <v/>
      </c>
      <c r="K93" s="5"/>
      <c r="L93" s="6" t="str">
        <f t="shared" si="64"/>
        <v/>
      </c>
      <c r="M93" s="10" t="str">
        <f t="shared" si="76"/>
        <v/>
      </c>
      <c r="N93" s="4" t="str">
        <f t="shared" si="102"/>
        <v/>
      </c>
      <c r="O93" s="4" t="str">
        <f t="shared" si="77"/>
        <v/>
      </c>
      <c r="P93" s="4" t="str">
        <f t="shared" si="78"/>
        <v/>
      </c>
      <c r="Q93" s="4" t="str">
        <f t="shared" si="79"/>
        <v/>
      </c>
      <c r="R93" s="4" t="str">
        <f t="shared" si="80"/>
        <v/>
      </c>
      <c r="S93" s="4" t="str">
        <f t="shared" si="81"/>
        <v/>
      </c>
      <c r="T93" s="5"/>
      <c r="V93" s="6" t="str">
        <f t="shared" si="21"/>
        <v/>
      </c>
      <c r="W93" s="10" t="str">
        <f t="shared" si="44"/>
        <v/>
      </c>
      <c r="X93" s="4" t="str">
        <f t="shared" si="108"/>
        <v/>
      </c>
      <c r="Y93" s="4" t="str">
        <f t="shared" si="82"/>
        <v/>
      </c>
      <c r="Z93" s="4" t="str">
        <f t="shared" si="83"/>
        <v/>
      </c>
      <c r="AA93" s="4">
        <f t="shared" si="109"/>
        <v>0</v>
      </c>
      <c r="AB93" s="4" t="str">
        <f t="shared" si="84"/>
        <v/>
      </c>
      <c r="AC93" s="4" t="str">
        <f t="shared" si="85"/>
        <v/>
      </c>
      <c r="AD93" s="5"/>
      <c r="AF93" s="6" t="str">
        <f t="shared" si="26"/>
        <v/>
      </c>
      <c r="AG93" s="10" t="str">
        <f t="shared" si="46"/>
        <v/>
      </c>
      <c r="AH93" s="4" t="str">
        <f t="shared" si="110"/>
        <v/>
      </c>
      <c r="AI93" s="4" t="str">
        <f t="shared" si="86"/>
        <v/>
      </c>
      <c r="AJ93" s="4" t="str">
        <f t="shared" si="87"/>
        <v/>
      </c>
      <c r="AK93" s="4" t="str">
        <f t="shared" si="88"/>
        <v/>
      </c>
      <c r="AL93" s="4" t="str">
        <f t="shared" si="89"/>
        <v/>
      </c>
      <c r="AM93" s="4" t="str">
        <f t="shared" si="90"/>
        <v/>
      </c>
      <c r="AN93" s="5"/>
      <c r="AP93" s="6" t="str">
        <f t="shared" si="65"/>
        <v/>
      </c>
      <c r="AQ93" s="10" t="str">
        <f t="shared" si="91"/>
        <v/>
      </c>
      <c r="AR93" s="4" t="str">
        <f t="shared" si="103"/>
        <v/>
      </c>
      <c r="AS93" s="4" t="str">
        <f t="shared" si="92"/>
        <v/>
      </c>
      <c r="AT93" s="4" t="str">
        <f t="shared" si="93"/>
        <v/>
      </c>
      <c r="AU93" s="4" t="str">
        <f t="shared" si="94"/>
        <v/>
      </c>
      <c r="AV93" s="4" t="str">
        <f t="shared" si="95"/>
        <v/>
      </c>
      <c r="AW93" s="4" t="str">
        <f t="shared" si="96"/>
        <v/>
      </c>
      <c r="AZ93" s="6" t="str">
        <f t="shared" si="66"/>
        <v/>
      </c>
      <c r="BA93" s="10" t="str">
        <f t="shared" si="67"/>
        <v/>
      </c>
      <c r="BB93" s="4" t="str">
        <f t="shared" si="104"/>
        <v/>
      </c>
      <c r="BC93" s="4" t="str">
        <f t="shared" si="97"/>
        <v/>
      </c>
      <c r="BD93" s="4" t="str">
        <f t="shared" si="98"/>
        <v/>
      </c>
      <c r="BE93" s="4" t="str">
        <f t="shared" si="99"/>
        <v/>
      </c>
      <c r="BF93" s="4" t="str">
        <f t="shared" si="100"/>
        <v/>
      </c>
      <c r="BG93" s="4" t="str">
        <f t="shared" si="101"/>
        <v/>
      </c>
      <c r="BH93" s="5"/>
      <c r="BI93" s="7" t="str">
        <f t="shared" si="60"/>
        <v/>
      </c>
      <c r="BJ93" s="7" t="str">
        <f t="shared" si="68"/>
        <v/>
      </c>
      <c r="BK93" s="7"/>
      <c r="BM93" s="6">
        <v>59</v>
      </c>
      <c r="BN93" s="5" t="str">
        <f t="shared" si="50"/>
        <v/>
      </c>
      <c r="BO93" s="5" t="str">
        <f t="shared" si="51"/>
        <v/>
      </c>
      <c r="BP93" s="5" t="str">
        <f t="shared" si="52"/>
        <v/>
      </c>
      <c r="BQ93" s="5">
        <f t="shared" si="53"/>
        <v>0</v>
      </c>
      <c r="BR93" s="5" t="str">
        <f t="shared" si="54"/>
        <v/>
      </c>
      <c r="CC93" s="6"/>
      <c r="CD93" s="54"/>
      <c r="CE93" s="55"/>
      <c r="CF93" s="55"/>
      <c r="CG93" s="55"/>
      <c r="CH93" s="55"/>
      <c r="CI93" s="55"/>
      <c r="CJ93" s="55"/>
      <c r="DB93" s="4"/>
    </row>
    <row r="94" spans="1:106" x14ac:dyDescent="0.3">
      <c r="A94" s="9">
        <v>59</v>
      </c>
      <c r="B94" s="6" t="str">
        <f t="shared" si="69"/>
        <v/>
      </c>
      <c r="C94" s="46" t="str">
        <f>IF(A94&lt;=$C$19,'Fechas de pago'!B78,"")</f>
        <v/>
      </c>
      <c r="D94" s="4" t="str">
        <f t="shared" si="70"/>
        <v/>
      </c>
      <c r="E94" s="4" t="str">
        <f t="shared" si="71"/>
        <v/>
      </c>
      <c r="F94" s="4" t="str">
        <f t="shared" si="72"/>
        <v/>
      </c>
      <c r="G94" s="4" t="str">
        <f t="shared" si="73"/>
        <v/>
      </c>
      <c r="H94" s="4" t="str">
        <f t="shared" si="74"/>
        <v/>
      </c>
      <c r="I94" s="4" t="str">
        <f t="shared" si="75"/>
        <v/>
      </c>
      <c r="K94" s="5"/>
      <c r="L94" s="6" t="str">
        <f t="shared" si="64"/>
        <v/>
      </c>
      <c r="M94" s="10" t="str">
        <f t="shared" si="76"/>
        <v/>
      </c>
      <c r="N94" s="4" t="str">
        <f t="shared" si="102"/>
        <v/>
      </c>
      <c r="O94" s="4" t="str">
        <f t="shared" si="77"/>
        <v/>
      </c>
      <c r="P94" s="4" t="str">
        <f t="shared" si="78"/>
        <v/>
      </c>
      <c r="Q94" s="4" t="str">
        <f t="shared" si="79"/>
        <v/>
      </c>
      <c r="R94" s="4" t="str">
        <f t="shared" si="80"/>
        <v/>
      </c>
      <c r="S94" s="4" t="str">
        <f t="shared" si="81"/>
        <v/>
      </c>
      <c r="T94" s="5"/>
      <c r="V94" s="6" t="str">
        <f t="shared" si="21"/>
        <v/>
      </c>
      <c r="W94" s="10" t="str">
        <f t="shared" si="44"/>
        <v/>
      </c>
      <c r="X94" s="4" t="str">
        <f t="shared" si="108"/>
        <v/>
      </c>
      <c r="Y94" s="4" t="str">
        <f t="shared" si="82"/>
        <v/>
      </c>
      <c r="Z94" s="4" t="str">
        <f t="shared" si="83"/>
        <v/>
      </c>
      <c r="AA94" s="4">
        <f t="shared" si="109"/>
        <v>0</v>
      </c>
      <c r="AB94" s="4" t="str">
        <f t="shared" si="84"/>
        <v/>
      </c>
      <c r="AC94" s="4" t="str">
        <f t="shared" si="85"/>
        <v/>
      </c>
      <c r="AD94" s="5"/>
      <c r="AF94" s="6" t="str">
        <f t="shared" si="26"/>
        <v/>
      </c>
      <c r="AG94" s="10" t="str">
        <f t="shared" si="46"/>
        <v/>
      </c>
      <c r="AH94" s="4" t="str">
        <f t="shared" si="110"/>
        <v/>
      </c>
      <c r="AI94" s="4" t="str">
        <f t="shared" si="86"/>
        <v/>
      </c>
      <c r="AJ94" s="4" t="str">
        <f t="shared" si="87"/>
        <v/>
      </c>
      <c r="AK94" s="4" t="str">
        <f t="shared" si="88"/>
        <v/>
      </c>
      <c r="AL94" s="4" t="str">
        <f t="shared" si="89"/>
        <v/>
      </c>
      <c r="AM94" s="4" t="str">
        <f t="shared" si="90"/>
        <v/>
      </c>
      <c r="AN94" s="5"/>
      <c r="AP94" s="6" t="str">
        <f t="shared" si="65"/>
        <v/>
      </c>
      <c r="AQ94" s="10" t="str">
        <f t="shared" si="91"/>
        <v/>
      </c>
      <c r="AR94" s="4" t="str">
        <f t="shared" si="103"/>
        <v/>
      </c>
      <c r="AS94" s="4" t="str">
        <f t="shared" si="92"/>
        <v/>
      </c>
      <c r="AT94" s="4" t="str">
        <f t="shared" si="93"/>
        <v/>
      </c>
      <c r="AU94" s="4" t="str">
        <f t="shared" si="94"/>
        <v/>
      </c>
      <c r="AV94" s="4" t="str">
        <f t="shared" si="95"/>
        <v/>
      </c>
      <c r="AW94" s="4" t="str">
        <f t="shared" si="96"/>
        <v/>
      </c>
      <c r="AZ94" s="6" t="str">
        <f t="shared" si="66"/>
        <v/>
      </c>
      <c r="BA94" s="10" t="str">
        <f t="shared" si="67"/>
        <v/>
      </c>
      <c r="BB94" s="4" t="str">
        <f t="shared" si="104"/>
        <v/>
      </c>
      <c r="BC94" s="4" t="str">
        <f t="shared" si="97"/>
        <v/>
      </c>
      <c r="BD94" s="4" t="str">
        <f t="shared" si="98"/>
        <v/>
      </c>
      <c r="BE94" s="4" t="str">
        <f t="shared" si="99"/>
        <v/>
      </c>
      <c r="BF94" s="4" t="str">
        <f t="shared" si="100"/>
        <v/>
      </c>
      <c r="BG94" s="4" t="str">
        <f t="shared" si="101"/>
        <v/>
      </c>
      <c r="BH94" s="5"/>
      <c r="BI94" s="7" t="str">
        <f t="shared" si="60"/>
        <v/>
      </c>
      <c r="BJ94" s="7" t="str">
        <f t="shared" si="68"/>
        <v/>
      </c>
      <c r="BK94" s="7"/>
      <c r="BM94" s="6">
        <v>60</v>
      </c>
      <c r="BN94" s="5" t="str">
        <f t="shared" si="50"/>
        <v/>
      </c>
      <c r="BO94" s="5" t="str">
        <f t="shared" si="51"/>
        <v/>
      </c>
      <c r="BP94" s="5" t="str">
        <f t="shared" si="52"/>
        <v/>
      </c>
      <c r="BQ94" s="5">
        <f t="shared" si="53"/>
        <v>0</v>
      </c>
      <c r="BR94" s="5" t="str">
        <f t="shared" si="54"/>
        <v/>
      </c>
      <c r="CC94" s="6"/>
      <c r="CD94" s="54"/>
      <c r="CE94" s="55"/>
      <c r="CF94" s="55"/>
      <c r="CG94" s="55"/>
      <c r="CH94" s="55"/>
      <c r="CI94" s="55"/>
      <c r="CJ94" s="55"/>
      <c r="DB94" s="4"/>
    </row>
    <row r="95" spans="1:106" x14ac:dyDescent="0.3">
      <c r="A95" s="9">
        <v>60</v>
      </c>
      <c r="B95" s="6" t="str">
        <f t="shared" si="69"/>
        <v/>
      </c>
      <c r="C95" s="46" t="str">
        <f>IF(A95&lt;=$C$19,'Fechas de pago'!B79,"")</f>
        <v/>
      </c>
      <c r="D95" s="4" t="str">
        <f t="shared" si="70"/>
        <v/>
      </c>
      <c r="E95" s="4" t="str">
        <f t="shared" si="71"/>
        <v/>
      </c>
      <c r="F95" s="4" t="str">
        <f t="shared" si="72"/>
        <v/>
      </c>
      <c r="G95" s="4" t="str">
        <f t="shared" si="73"/>
        <v/>
      </c>
      <c r="H95" s="4" t="str">
        <f t="shared" si="74"/>
        <v/>
      </c>
      <c r="I95" s="4" t="str">
        <f t="shared" si="75"/>
        <v/>
      </c>
      <c r="K95" s="5"/>
      <c r="L95" s="6" t="str">
        <f t="shared" si="64"/>
        <v/>
      </c>
      <c r="M95" s="10" t="str">
        <f t="shared" si="76"/>
        <v/>
      </c>
      <c r="N95" s="4" t="str">
        <f t="shared" si="102"/>
        <v/>
      </c>
      <c r="O95" s="4" t="str">
        <f t="shared" si="77"/>
        <v/>
      </c>
      <c r="P95" s="4" t="str">
        <f t="shared" si="78"/>
        <v/>
      </c>
      <c r="Q95" s="4" t="str">
        <f t="shared" si="79"/>
        <v/>
      </c>
      <c r="R95" s="4" t="str">
        <f t="shared" si="80"/>
        <v/>
      </c>
      <c r="S95" s="4" t="str">
        <f t="shared" si="81"/>
        <v/>
      </c>
      <c r="T95" s="5"/>
      <c r="V95" s="6" t="str">
        <f t="shared" si="21"/>
        <v/>
      </c>
      <c r="W95" s="10" t="str">
        <f t="shared" si="44"/>
        <v/>
      </c>
      <c r="X95" s="4" t="str">
        <f t="shared" si="108"/>
        <v/>
      </c>
      <c r="Y95" s="4" t="str">
        <f t="shared" si="82"/>
        <v/>
      </c>
      <c r="Z95" s="4" t="str">
        <f t="shared" si="83"/>
        <v/>
      </c>
      <c r="AA95" s="4">
        <f t="shared" si="109"/>
        <v>0</v>
      </c>
      <c r="AB95" s="4" t="str">
        <f t="shared" si="84"/>
        <v/>
      </c>
      <c r="AC95" s="4" t="str">
        <f t="shared" si="85"/>
        <v/>
      </c>
      <c r="AD95" s="5"/>
      <c r="AF95" s="6" t="str">
        <f t="shared" si="26"/>
        <v/>
      </c>
      <c r="AG95" s="10" t="str">
        <f t="shared" si="46"/>
        <v/>
      </c>
      <c r="AH95" s="4" t="str">
        <f t="shared" si="110"/>
        <v/>
      </c>
      <c r="AI95" s="4" t="str">
        <f t="shared" si="86"/>
        <v/>
      </c>
      <c r="AJ95" s="4" t="str">
        <f t="shared" si="87"/>
        <v/>
      </c>
      <c r="AK95" s="4" t="str">
        <f t="shared" si="88"/>
        <v/>
      </c>
      <c r="AL95" s="4" t="str">
        <f t="shared" si="89"/>
        <v/>
      </c>
      <c r="AM95" s="4" t="str">
        <f t="shared" si="90"/>
        <v/>
      </c>
      <c r="AN95" s="5"/>
      <c r="AP95" s="6" t="str">
        <f t="shared" si="65"/>
        <v/>
      </c>
      <c r="AQ95" s="10" t="str">
        <f t="shared" si="91"/>
        <v/>
      </c>
      <c r="AR95" s="4" t="str">
        <f t="shared" si="103"/>
        <v/>
      </c>
      <c r="AS95" s="4" t="str">
        <f t="shared" si="92"/>
        <v/>
      </c>
      <c r="AT95" s="4" t="str">
        <f t="shared" si="93"/>
        <v/>
      </c>
      <c r="AU95" s="4" t="str">
        <f t="shared" si="94"/>
        <v/>
      </c>
      <c r="AV95" s="4" t="str">
        <f t="shared" si="95"/>
        <v/>
      </c>
      <c r="AW95" s="4" t="str">
        <f t="shared" si="96"/>
        <v/>
      </c>
      <c r="AZ95" s="6" t="str">
        <f t="shared" si="66"/>
        <v/>
      </c>
      <c r="BA95" s="10" t="str">
        <f t="shared" si="67"/>
        <v/>
      </c>
      <c r="BB95" s="4" t="str">
        <f t="shared" si="104"/>
        <v/>
      </c>
      <c r="BC95" s="4" t="str">
        <f t="shared" si="97"/>
        <v/>
      </c>
      <c r="BD95" s="4" t="str">
        <f t="shared" si="98"/>
        <v/>
      </c>
      <c r="BE95" s="4" t="str">
        <f t="shared" si="99"/>
        <v/>
      </c>
      <c r="BF95" s="4" t="str">
        <f t="shared" si="100"/>
        <v/>
      </c>
      <c r="BG95" s="4" t="str">
        <f t="shared" si="101"/>
        <v/>
      </c>
      <c r="BH95" s="5"/>
      <c r="BI95" s="7" t="str">
        <f t="shared" si="60"/>
        <v/>
      </c>
      <c r="BJ95" s="7" t="str">
        <f t="shared" si="68"/>
        <v/>
      </c>
      <c r="BK95" s="7"/>
      <c r="BM95" s="6">
        <v>61</v>
      </c>
      <c r="BN95" s="5" t="str">
        <f t="shared" si="50"/>
        <v/>
      </c>
      <c r="BO95" s="5" t="str">
        <f t="shared" si="51"/>
        <v/>
      </c>
      <c r="BP95" s="5" t="str">
        <f t="shared" si="52"/>
        <v/>
      </c>
      <c r="BQ95" s="5">
        <f t="shared" si="53"/>
        <v>0</v>
      </c>
      <c r="BR95" s="5" t="str">
        <f t="shared" si="54"/>
        <v/>
      </c>
      <c r="CC95" s="6"/>
      <c r="CD95" s="54"/>
      <c r="CE95" s="55"/>
      <c r="CF95" s="55"/>
      <c r="CG95" s="55"/>
      <c r="CH95" s="55"/>
      <c r="CI95" s="55"/>
      <c r="CJ95" s="55"/>
      <c r="DB95" s="4"/>
    </row>
    <row r="96" spans="1:106" x14ac:dyDescent="0.3">
      <c r="A96" s="9">
        <v>61</v>
      </c>
      <c r="B96" s="118" t="str">
        <f t="shared" si="69"/>
        <v/>
      </c>
      <c r="C96" s="119" t="str">
        <f>IF(A96&lt;=$C$19,'Fechas de pago'!B80,"")</f>
        <v/>
      </c>
      <c r="D96" s="45" t="str">
        <f t="shared" si="70"/>
        <v/>
      </c>
      <c r="E96" s="45" t="str">
        <f t="shared" si="71"/>
        <v/>
      </c>
      <c r="F96" s="45" t="str">
        <f t="shared" si="72"/>
        <v/>
      </c>
      <c r="G96" s="45" t="str">
        <f t="shared" si="73"/>
        <v/>
      </c>
      <c r="H96" s="45" t="str">
        <f t="shared" si="74"/>
        <v/>
      </c>
      <c r="I96" s="45" t="str">
        <f t="shared" si="75"/>
        <v/>
      </c>
      <c r="K96" s="5"/>
      <c r="L96" s="118" t="str">
        <f t="shared" si="64"/>
        <v/>
      </c>
      <c r="M96" s="121" t="str">
        <f t="shared" si="76"/>
        <v/>
      </c>
      <c r="N96" s="45" t="str">
        <f t="shared" si="102"/>
        <v/>
      </c>
      <c r="O96" s="45" t="str">
        <f t="shared" si="77"/>
        <v/>
      </c>
      <c r="P96" s="45" t="str">
        <f t="shared" si="78"/>
        <v/>
      </c>
      <c r="Q96" s="45" t="str">
        <f t="shared" si="79"/>
        <v/>
      </c>
      <c r="R96" s="45" t="str">
        <f t="shared" si="80"/>
        <v/>
      </c>
      <c r="S96" s="45" t="str">
        <f t="shared" si="81"/>
        <v/>
      </c>
      <c r="T96" s="5"/>
      <c r="V96" s="118" t="str">
        <f t="shared" si="21"/>
        <v/>
      </c>
      <c r="W96" s="121" t="str">
        <f t="shared" si="44"/>
        <v/>
      </c>
      <c r="X96" s="45" t="str">
        <f>IF(V96&gt;$C$19,"",IF(AND($C$10="Multianual Fraccionado",$C$9="Contado"),$C$13,IF(AND($C$10="Multianual Fraccionado",$C$9="Financiado"),$C$12,IF(AND($C$9="financiado",$C$10="Multianual Financiado"),X95-Y95,IF(OR($C$9="Externo",AND($C$9="financiado",$C$10="anual")),0,IF(AND($C$10="Multianual Financiado",$C$9="CONTADO"),0,IF(AND($C$9="CONTADO",$C$10="M13"),$C$13,0)))))))</f>
        <v/>
      </c>
      <c r="Y96" s="45" t="str">
        <f t="shared" si="82"/>
        <v/>
      </c>
      <c r="Z96" s="45" t="str">
        <f t="shared" si="83"/>
        <v/>
      </c>
      <c r="AA96" s="45">
        <f>IF(AND($C$9="financiado",$C$10="multianual financiado",V96&lt;=$C$19),-PMT($C$20/12,$C$19,$C$11),IF(AND($C$9="financiado",$C$10="anual"),0,IF(OR($C$9="promocional",$C$9="gratis",$C$9="Externo"),0,IF(AND(OR($C$10="Multianual Fraccionado",$C$10="M13"),$C$9="Contado",V96&lt;=$C$19),-PMT($C$20/12,W$29,$C$13),IF(AND($C$10="Multianual Fraccionado",$C$9="Financiado",V96&lt;=$C$19),-PMT($C$20/12,W$29,$C$12),0)))))</f>
        <v>0</v>
      </c>
      <c r="AB96" s="45" t="str">
        <f t="shared" si="84"/>
        <v/>
      </c>
      <c r="AC96" s="45" t="str">
        <f t="shared" si="85"/>
        <v/>
      </c>
      <c r="AD96" s="5"/>
      <c r="AF96" s="118" t="str">
        <f t="shared" si="26"/>
        <v/>
      </c>
      <c r="AG96" s="121" t="str">
        <f t="shared" si="46"/>
        <v/>
      </c>
      <c r="AH96" s="45" t="str">
        <f>IF(A96&lt;=$C$19,AH36,"")</f>
        <v/>
      </c>
      <c r="AI96" s="45" t="str">
        <f t="shared" si="86"/>
        <v/>
      </c>
      <c r="AJ96" s="45" t="str">
        <f t="shared" si="87"/>
        <v/>
      </c>
      <c r="AK96" s="45" t="str">
        <f t="shared" si="88"/>
        <v/>
      </c>
      <c r="AL96" s="45" t="str">
        <f t="shared" si="89"/>
        <v/>
      </c>
      <c r="AM96" s="45" t="str">
        <f t="shared" si="90"/>
        <v/>
      </c>
      <c r="AN96" s="5"/>
      <c r="AP96" s="118" t="str">
        <f t="shared" si="65"/>
        <v/>
      </c>
      <c r="AQ96" s="121" t="str">
        <f t="shared" si="91"/>
        <v/>
      </c>
      <c r="AR96" s="45" t="str">
        <f t="shared" si="103"/>
        <v/>
      </c>
      <c r="AS96" s="45" t="str">
        <f t="shared" si="92"/>
        <v/>
      </c>
      <c r="AT96" s="45" t="str">
        <f t="shared" si="93"/>
        <v/>
      </c>
      <c r="AU96" s="45" t="str">
        <f t="shared" si="94"/>
        <v/>
      </c>
      <c r="AV96" s="45" t="str">
        <f t="shared" si="95"/>
        <v/>
      </c>
      <c r="AW96" s="45" t="str">
        <f t="shared" si="96"/>
        <v/>
      </c>
      <c r="AZ96" s="118" t="str">
        <f t="shared" si="66"/>
        <v/>
      </c>
      <c r="BA96" s="121" t="str">
        <f t="shared" si="67"/>
        <v/>
      </c>
      <c r="BB96" s="45" t="str">
        <f t="shared" si="104"/>
        <v/>
      </c>
      <c r="BC96" s="45" t="str">
        <f t="shared" si="97"/>
        <v/>
      </c>
      <c r="BD96" s="45" t="str">
        <f t="shared" si="98"/>
        <v/>
      </c>
      <c r="BE96" s="45" t="str">
        <f t="shared" si="99"/>
        <v/>
      </c>
      <c r="BF96" s="45" t="str">
        <f t="shared" si="100"/>
        <v/>
      </c>
      <c r="BG96" s="45" t="str">
        <f t="shared" si="101"/>
        <v/>
      </c>
      <c r="BH96" s="5"/>
      <c r="BI96" s="122" t="str">
        <f>IF(SUM(BN96:BT96)&gt;0,SUM(BN96:BT96),"")</f>
        <v/>
      </c>
      <c r="BJ96" s="122" t="str">
        <f t="shared" si="68"/>
        <v/>
      </c>
      <c r="BK96" s="7"/>
      <c r="BM96" s="118">
        <v>62</v>
      </c>
      <c r="BN96" s="120" t="str">
        <f t="shared" si="50"/>
        <v/>
      </c>
      <c r="BO96" s="120" t="str">
        <f t="shared" si="51"/>
        <v/>
      </c>
      <c r="BP96" s="120" t="str">
        <f t="shared" si="52"/>
        <v/>
      </c>
      <c r="BQ96" s="120">
        <f t="shared" si="53"/>
        <v>0</v>
      </c>
      <c r="BR96" s="120" t="str">
        <f t="shared" si="54"/>
        <v/>
      </c>
      <c r="BS96" s="45"/>
      <c r="BT96" s="120">
        <f>IF(AND($C$9="Externo",BM96&lt;=$C$19),$D$11,0)</f>
        <v>0</v>
      </c>
      <c r="CC96" s="6"/>
      <c r="CD96" s="54"/>
      <c r="CE96" s="55"/>
      <c r="CF96" s="55"/>
      <c r="CG96" s="55"/>
      <c r="CH96" s="55"/>
      <c r="CI96" s="55"/>
      <c r="CJ96" s="55"/>
      <c r="DB96" s="4"/>
    </row>
    <row r="97" spans="1:106" x14ac:dyDescent="0.3">
      <c r="A97" s="9">
        <v>62</v>
      </c>
      <c r="B97" s="6" t="str">
        <f t="shared" si="69"/>
        <v/>
      </c>
      <c r="C97" s="46" t="str">
        <f>IF(A97&lt;=$C$19,'Fechas de pago'!B81,"")</f>
        <v/>
      </c>
      <c r="D97" s="4" t="str">
        <f t="shared" si="70"/>
        <v/>
      </c>
      <c r="E97" s="4" t="str">
        <f t="shared" si="71"/>
        <v/>
      </c>
      <c r="F97" s="4" t="str">
        <f t="shared" si="72"/>
        <v/>
      </c>
      <c r="G97" s="4" t="str">
        <f t="shared" si="73"/>
        <v/>
      </c>
      <c r="H97" s="4" t="str">
        <f t="shared" si="74"/>
        <v/>
      </c>
      <c r="I97" s="4" t="str">
        <f t="shared" si="75"/>
        <v/>
      </c>
      <c r="K97" s="5"/>
      <c r="L97" s="6" t="str">
        <f t="shared" si="64"/>
        <v/>
      </c>
      <c r="M97" s="10" t="str">
        <f t="shared" si="76"/>
        <v/>
      </c>
      <c r="N97" s="4" t="str">
        <f t="shared" si="102"/>
        <v/>
      </c>
      <c r="O97" s="4" t="str">
        <f t="shared" si="77"/>
        <v/>
      </c>
      <c r="P97" s="4" t="str">
        <f t="shared" si="78"/>
        <v/>
      </c>
      <c r="Q97" s="4" t="str">
        <f t="shared" si="79"/>
        <v/>
      </c>
      <c r="R97" s="4" t="str">
        <f t="shared" si="80"/>
        <v/>
      </c>
      <c r="S97" s="4" t="str">
        <f t="shared" si="81"/>
        <v/>
      </c>
      <c r="T97" s="5"/>
      <c r="V97" s="6" t="str">
        <f t="shared" si="21"/>
        <v/>
      </c>
      <c r="W97" s="10" t="str">
        <f t="shared" si="44"/>
        <v/>
      </c>
      <c r="X97" s="4" t="str">
        <f t="shared" si="108"/>
        <v/>
      </c>
      <c r="Y97" s="4" t="str">
        <f t="shared" si="82"/>
        <v/>
      </c>
      <c r="Z97" s="4" t="str">
        <f t="shared" si="83"/>
        <v/>
      </c>
      <c r="AA97" s="4">
        <f t="shared" ref="AA97:AA107" si="111">IF(AND($C$9="financiado",$C$10="multianual financiado",V97&lt;=$C$19),-PMT($C$20/12,$C$19,$C$11),IF(AND($C$9="financiado",$C$10="anual"),0,IF(OR($C$9="promocional",$C$9="gratis",$C$9="Externo"),0,IF(AND(OR($C$10="Multianual Fraccionado",$C$10="M13"),$C$9="Contado",V97&lt;=$C$19),-PMT($C$20/12,W$29,$C$13),IF(AND($C$10="Multianual Fraccionado",$C$9="Financiado",V97&lt;=$C$19),-PMT($C$20/12,W$29,$C$12),0)))))</f>
        <v>0</v>
      </c>
      <c r="AB97" s="4" t="str">
        <f t="shared" si="84"/>
        <v/>
      </c>
      <c r="AC97" s="4" t="str">
        <f t="shared" si="85"/>
        <v/>
      </c>
      <c r="AD97" s="5"/>
      <c r="AF97" s="6" t="str">
        <f t="shared" si="26"/>
        <v/>
      </c>
      <c r="AG97" s="10" t="str">
        <f t="shared" si="46"/>
        <v/>
      </c>
      <c r="AH97" s="4" t="str">
        <f t="shared" ref="AH97:AH107" si="112">IF(A97&lt;=$C$19,AH96-AI96,"")</f>
        <v/>
      </c>
      <c r="AI97" s="4" t="str">
        <f t="shared" si="86"/>
        <v/>
      </c>
      <c r="AJ97" s="4" t="str">
        <f t="shared" si="87"/>
        <v/>
      </c>
      <c r="AK97" s="4" t="str">
        <f t="shared" si="88"/>
        <v/>
      </c>
      <c r="AL97" s="4" t="str">
        <f t="shared" si="89"/>
        <v/>
      </c>
      <c r="AM97" s="4" t="str">
        <f t="shared" si="90"/>
        <v/>
      </c>
      <c r="AN97" s="5"/>
      <c r="AP97" s="6" t="str">
        <f t="shared" si="65"/>
        <v/>
      </c>
      <c r="AQ97" s="10" t="str">
        <f t="shared" si="91"/>
        <v/>
      </c>
      <c r="AR97" s="4" t="str">
        <f t="shared" si="103"/>
        <v/>
      </c>
      <c r="AS97" s="4" t="str">
        <f t="shared" si="92"/>
        <v/>
      </c>
      <c r="AT97" s="4" t="str">
        <f t="shared" si="93"/>
        <v/>
      </c>
      <c r="AU97" s="4" t="str">
        <f t="shared" si="94"/>
        <v/>
      </c>
      <c r="AV97" s="4" t="str">
        <f t="shared" si="95"/>
        <v/>
      </c>
      <c r="AW97" s="4" t="str">
        <f t="shared" si="96"/>
        <v/>
      </c>
      <c r="AZ97" s="6" t="str">
        <f t="shared" si="66"/>
        <v/>
      </c>
      <c r="BA97" s="10" t="str">
        <f t="shared" si="67"/>
        <v/>
      </c>
      <c r="BB97" s="4" t="str">
        <f t="shared" si="104"/>
        <v/>
      </c>
      <c r="BC97" s="4" t="str">
        <f t="shared" si="97"/>
        <v/>
      </c>
      <c r="BD97" s="4" t="str">
        <f t="shared" si="98"/>
        <v/>
      </c>
      <c r="BE97" s="4" t="str">
        <f t="shared" si="99"/>
        <v/>
      </c>
      <c r="BF97" s="4" t="str">
        <f t="shared" si="100"/>
        <v/>
      </c>
      <c r="BG97" s="4" t="str">
        <f t="shared" si="101"/>
        <v/>
      </c>
      <c r="BH97" s="5"/>
      <c r="BI97" s="7" t="str">
        <f t="shared" si="60"/>
        <v/>
      </c>
      <c r="BJ97" s="7" t="str">
        <f t="shared" si="68"/>
        <v/>
      </c>
      <c r="BK97" s="7"/>
      <c r="BM97" s="6">
        <v>63</v>
      </c>
      <c r="BN97" s="5" t="str">
        <f t="shared" si="50"/>
        <v/>
      </c>
      <c r="BO97" s="5" t="str">
        <f t="shared" si="51"/>
        <v/>
      </c>
      <c r="BP97" s="5" t="str">
        <f t="shared" si="52"/>
        <v/>
      </c>
      <c r="BQ97" s="5">
        <f t="shared" si="53"/>
        <v>0</v>
      </c>
      <c r="BR97" s="5" t="str">
        <f t="shared" si="54"/>
        <v/>
      </c>
      <c r="CC97" s="6"/>
      <c r="CD97" s="54"/>
      <c r="CE97" s="55"/>
      <c r="CF97" s="55"/>
      <c r="CG97" s="55"/>
      <c r="CH97" s="55"/>
      <c r="CI97" s="55"/>
      <c r="CJ97" s="55"/>
      <c r="DB97" s="4"/>
    </row>
    <row r="98" spans="1:106" x14ac:dyDescent="0.3">
      <c r="A98" s="9">
        <v>63</v>
      </c>
      <c r="B98" s="6" t="str">
        <f t="shared" si="69"/>
        <v/>
      </c>
      <c r="C98" s="46" t="str">
        <f>IF(A98&lt;=$C$19,'Fechas de pago'!B82,"")</f>
        <v/>
      </c>
      <c r="D98" s="4" t="str">
        <f t="shared" si="70"/>
        <v/>
      </c>
      <c r="E98" s="4" t="str">
        <f t="shared" si="71"/>
        <v/>
      </c>
      <c r="F98" s="4" t="str">
        <f t="shared" si="72"/>
        <v/>
      </c>
      <c r="G98" s="4" t="str">
        <f t="shared" si="73"/>
        <v/>
      </c>
      <c r="H98" s="4" t="str">
        <f t="shared" si="74"/>
        <v/>
      </c>
      <c r="I98" s="4" t="str">
        <f t="shared" si="75"/>
        <v/>
      </c>
      <c r="K98" s="5"/>
      <c r="L98" s="6" t="str">
        <f t="shared" si="64"/>
        <v/>
      </c>
      <c r="M98" s="10" t="str">
        <f t="shared" si="76"/>
        <v/>
      </c>
      <c r="N98" s="4" t="str">
        <f t="shared" si="102"/>
        <v/>
      </c>
      <c r="O98" s="4" t="str">
        <f t="shared" si="77"/>
        <v/>
      </c>
      <c r="P98" s="4" t="str">
        <f t="shared" si="78"/>
        <v/>
      </c>
      <c r="Q98" s="4" t="str">
        <f t="shared" si="79"/>
        <v/>
      </c>
      <c r="R98" s="4" t="str">
        <f t="shared" si="80"/>
        <v/>
      </c>
      <c r="S98" s="4" t="str">
        <f t="shared" si="81"/>
        <v/>
      </c>
      <c r="T98" s="5"/>
      <c r="V98" s="6" t="str">
        <f t="shared" si="21"/>
        <v/>
      </c>
      <c r="W98" s="10" t="str">
        <f t="shared" si="44"/>
        <v/>
      </c>
      <c r="X98" s="4" t="str">
        <f t="shared" si="108"/>
        <v/>
      </c>
      <c r="Y98" s="4" t="str">
        <f t="shared" si="82"/>
        <v/>
      </c>
      <c r="Z98" s="4" t="str">
        <f t="shared" si="83"/>
        <v/>
      </c>
      <c r="AA98" s="4">
        <f t="shared" si="111"/>
        <v>0</v>
      </c>
      <c r="AB98" s="4" t="str">
        <f t="shared" si="84"/>
        <v/>
      </c>
      <c r="AC98" s="4" t="str">
        <f t="shared" si="85"/>
        <v/>
      </c>
      <c r="AD98" s="5"/>
      <c r="AF98" s="6" t="str">
        <f t="shared" si="26"/>
        <v/>
      </c>
      <c r="AG98" s="10" t="str">
        <f t="shared" si="46"/>
        <v/>
      </c>
      <c r="AH98" s="4" t="str">
        <f t="shared" si="112"/>
        <v/>
      </c>
      <c r="AI98" s="4" t="str">
        <f t="shared" si="86"/>
        <v/>
      </c>
      <c r="AJ98" s="4" t="str">
        <f t="shared" si="87"/>
        <v/>
      </c>
      <c r="AK98" s="4" t="str">
        <f t="shared" si="88"/>
        <v/>
      </c>
      <c r="AL98" s="4" t="str">
        <f t="shared" si="89"/>
        <v/>
      </c>
      <c r="AM98" s="4" t="str">
        <f t="shared" si="90"/>
        <v/>
      </c>
      <c r="AN98" s="5"/>
      <c r="AP98" s="6" t="str">
        <f t="shared" si="65"/>
        <v/>
      </c>
      <c r="AQ98" s="10" t="str">
        <f t="shared" si="91"/>
        <v/>
      </c>
      <c r="AR98" s="4" t="str">
        <f t="shared" si="103"/>
        <v/>
      </c>
      <c r="AS98" s="4" t="str">
        <f t="shared" si="92"/>
        <v/>
      </c>
      <c r="AT98" s="4" t="str">
        <f t="shared" si="93"/>
        <v/>
      </c>
      <c r="AU98" s="4" t="str">
        <f t="shared" si="94"/>
        <v/>
      </c>
      <c r="AV98" s="4" t="str">
        <f t="shared" si="95"/>
        <v/>
      </c>
      <c r="AW98" s="4" t="str">
        <f t="shared" si="96"/>
        <v/>
      </c>
      <c r="AZ98" s="6" t="str">
        <f t="shared" si="66"/>
        <v/>
      </c>
      <c r="BA98" s="10" t="str">
        <f t="shared" si="67"/>
        <v/>
      </c>
      <c r="BB98" s="4" t="str">
        <f t="shared" si="104"/>
        <v/>
      </c>
      <c r="BC98" s="4" t="str">
        <f t="shared" si="97"/>
        <v/>
      </c>
      <c r="BD98" s="4" t="str">
        <f t="shared" si="98"/>
        <v/>
      </c>
      <c r="BE98" s="4" t="str">
        <f t="shared" si="99"/>
        <v/>
      </c>
      <c r="BF98" s="4" t="str">
        <f t="shared" si="100"/>
        <v/>
      </c>
      <c r="BG98" s="4" t="str">
        <f t="shared" si="101"/>
        <v/>
      </c>
      <c r="BH98" s="5"/>
      <c r="BI98" s="7" t="str">
        <f t="shared" si="60"/>
        <v/>
      </c>
      <c r="BJ98" s="7" t="str">
        <f t="shared" si="68"/>
        <v/>
      </c>
      <c r="BK98" s="7"/>
      <c r="BM98" s="6">
        <v>64</v>
      </c>
      <c r="BN98" s="5" t="str">
        <f t="shared" si="50"/>
        <v/>
      </c>
      <c r="BO98" s="5" t="str">
        <f t="shared" si="51"/>
        <v/>
      </c>
      <c r="BP98" s="5" t="str">
        <f t="shared" si="52"/>
        <v/>
      </c>
      <c r="BQ98" s="5">
        <f t="shared" si="53"/>
        <v>0</v>
      </c>
      <c r="BR98" s="5" t="str">
        <f t="shared" si="54"/>
        <v/>
      </c>
      <c r="CC98" s="6"/>
      <c r="CD98" s="54"/>
      <c r="CE98" s="55"/>
      <c r="CF98" s="55"/>
      <c r="CG98" s="55"/>
      <c r="CH98" s="55"/>
      <c r="CI98" s="55"/>
      <c r="CJ98" s="55"/>
      <c r="DB98" s="4"/>
    </row>
    <row r="99" spans="1:106" x14ac:dyDescent="0.3">
      <c r="A99" s="9">
        <v>64</v>
      </c>
      <c r="B99" s="6" t="str">
        <f t="shared" si="69"/>
        <v/>
      </c>
      <c r="C99" s="46" t="str">
        <f>IF(A99&lt;=$C$19,'Fechas de pago'!B83,"")</f>
        <v/>
      </c>
      <c r="D99" s="4" t="str">
        <f t="shared" si="70"/>
        <v/>
      </c>
      <c r="E99" s="4" t="str">
        <f t="shared" si="71"/>
        <v/>
      </c>
      <c r="F99" s="4" t="str">
        <f t="shared" si="72"/>
        <v/>
      </c>
      <c r="G99" s="4" t="str">
        <f t="shared" si="73"/>
        <v/>
      </c>
      <c r="H99" s="4" t="str">
        <f t="shared" si="74"/>
        <v/>
      </c>
      <c r="I99" s="4" t="str">
        <f t="shared" si="75"/>
        <v/>
      </c>
      <c r="K99" s="5"/>
      <c r="L99" s="6" t="str">
        <f t="shared" ref="L99:L107" si="113">B99</f>
        <v/>
      </c>
      <c r="M99" s="10" t="str">
        <f t="shared" si="76"/>
        <v/>
      </c>
      <c r="N99" s="4" t="str">
        <f t="shared" si="102"/>
        <v/>
      </c>
      <c r="O99" s="4" t="str">
        <f t="shared" si="77"/>
        <v/>
      </c>
      <c r="P99" s="4" t="str">
        <f t="shared" si="78"/>
        <v/>
      </c>
      <c r="Q99" s="4" t="str">
        <f t="shared" si="79"/>
        <v/>
      </c>
      <c r="R99" s="4" t="str">
        <f t="shared" si="80"/>
        <v/>
      </c>
      <c r="S99" s="4" t="str">
        <f t="shared" si="81"/>
        <v/>
      </c>
      <c r="T99" s="5"/>
      <c r="V99" s="6" t="str">
        <f t="shared" si="21"/>
        <v/>
      </c>
      <c r="W99" s="10" t="str">
        <f t="shared" si="44"/>
        <v/>
      </c>
      <c r="X99" s="4" t="str">
        <f t="shared" si="108"/>
        <v/>
      </c>
      <c r="Y99" s="4" t="str">
        <f t="shared" si="82"/>
        <v/>
      </c>
      <c r="Z99" s="4" t="str">
        <f t="shared" si="83"/>
        <v/>
      </c>
      <c r="AA99" s="4">
        <f t="shared" si="111"/>
        <v>0</v>
      </c>
      <c r="AB99" s="4" t="str">
        <f t="shared" si="84"/>
        <v/>
      </c>
      <c r="AC99" s="4" t="str">
        <f t="shared" si="85"/>
        <v/>
      </c>
      <c r="AD99" s="5"/>
      <c r="AF99" s="6" t="str">
        <f t="shared" si="26"/>
        <v/>
      </c>
      <c r="AG99" s="10" t="str">
        <f t="shared" si="46"/>
        <v/>
      </c>
      <c r="AH99" s="4" t="str">
        <f t="shared" si="112"/>
        <v/>
      </c>
      <c r="AI99" s="4" t="str">
        <f t="shared" si="86"/>
        <v/>
      </c>
      <c r="AJ99" s="4" t="str">
        <f t="shared" si="87"/>
        <v/>
      </c>
      <c r="AK99" s="4" t="str">
        <f t="shared" si="88"/>
        <v/>
      </c>
      <c r="AL99" s="4" t="str">
        <f t="shared" si="89"/>
        <v/>
      </c>
      <c r="AM99" s="4" t="str">
        <f t="shared" si="90"/>
        <v/>
      </c>
      <c r="AN99" s="5"/>
      <c r="AP99" s="6" t="str">
        <f t="shared" ref="AP99:AP107" si="114">B99</f>
        <v/>
      </c>
      <c r="AQ99" s="10" t="str">
        <f t="shared" si="91"/>
        <v/>
      </c>
      <c r="AR99" s="4" t="str">
        <f t="shared" si="103"/>
        <v/>
      </c>
      <c r="AS99" s="4" t="str">
        <f t="shared" si="92"/>
        <v/>
      </c>
      <c r="AT99" s="4" t="str">
        <f t="shared" si="93"/>
        <v/>
      </c>
      <c r="AU99" s="4" t="str">
        <f t="shared" si="94"/>
        <v/>
      </c>
      <c r="AV99" s="4" t="str">
        <f t="shared" si="95"/>
        <v/>
      </c>
      <c r="AW99" s="4" t="str">
        <f t="shared" si="96"/>
        <v/>
      </c>
      <c r="AZ99" s="6" t="str">
        <f t="shared" ref="AZ99:AZ107" si="115">B99</f>
        <v/>
      </c>
      <c r="BA99" s="10" t="str">
        <f t="shared" ref="BA99:BA107" si="116">C99</f>
        <v/>
      </c>
      <c r="BB99" s="4" t="str">
        <f t="shared" si="104"/>
        <v/>
      </c>
      <c r="BC99" s="4" t="str">
        <f t="shared" si="97"/>
        <v/>
      </c>
      <c r="BD99" s="4" t="str">
        <f t="shared" si="98"/>
        <v/>
      </c>
      <c r="BE99" s="4" t="str">
        <f t="shared" si="99"/>
        <v/>
      </c>
      <c r="BF99" s="4" t="str">
        <f t="shared" si="100"/>
        <v/>
      </c>
      <c r="BG99" s="4" t="str">
        <f t="shared" si="101"/>
        <v/>
      </c>
      <c r="BH99" s="5"/>
      <c r="BI99" s="7" t="str">
        <f t="shared" si="60"/>
        <v/>
      </c>
      <c r="BJ99" s="7" t="str">
        <f t="shared" ref="BJ99:BJ107" si="117">IF(B99&lt;=$C$19,BI99/((1+$BK$32)^(BM99/12)),"")</f>
        <v/>
      </c>
      <c r="BK99" s="7"/>
      <c r="BM99" s="6">
        <v>65</v>
      </c>
      <c r="BN99" s="5" t="str">
        <f t="shared" si="50"/>
        <v/>
      </c>
      <c r="BO99" s="5" t="str">
        <f t="shared" si="51"/>
        <v/>
      </c>
      <c r="BP99" s="5" t="str">
        <f t="shared" si="52"/>
        <v/>
      </c>
      <c r="BQ99" s="5">
        <f t="shared" si="53"/>
        <v>0</v>
      </c>
      <c r="BR99" s="5" t="str">
        <f t="shared" si="54"/>
        <v/>
      </c>
      <c r="CC99" s="6"/>
      <c r="CD99" s="54"/>
      <c r="CE99" s="55"/>
      <c r="CF99" s="55"/>
      <c r="CG99" s="55"/>
      <c r="CH99" s="55"/>
      <c r="CI99" s="55"/>
      <c r="CJ99" s="55"/>
      <c r="DB99" s="4"/>
    </row>
    <row r="100" spans="1:106" x14ac:dyDescent="0.3">
      <c r="A100" s="9">
        <v>65</v>
      </c>
      <c r="B100" s="6" t="str">
        <f t="shared" ref="B100:B107" si="118">IF(A100&lt;=$C$19,A100,"")</f>
        <v/>
      </c>
      <c r="C100" s="46" t="str">
        <f>IF(A100&lt;=$C$19,'Fechas de pago'!B84,"")</f>
        <v/>
      </c>
      <c r="D100" s="4" t="str">
        <f t="shared" ref="D100:D107" si="119">IF(A100&lt;=$C$19,N100+X100+AH100+AR100+BB100,"")</f>
        <v/>
      </c>
      <c r="E100" s="4" t="str">
        <f t="shared" ref="E100:E107" si="120">IF(A100&lt;=$C$19,O100+Y100+AI100+AS100+BC100,"")</f>
        <v/>
      </c>
      <c r="F100" s="4" t="str">
        <f t="shared" ref="F100:F107" si="121">IF(A100&lt;=$C$19,P100+Z100+AJ100+AT100+BD100,"")</f>
        <v/>
      </c>
      <c r="G100" s="4" t="str">
        <f t="shared" ref="G100:G107" si="122">IF(A100&lt;=$C$19,Q100+AA100+AK100+AU100+BE100,"")</f>
        <v/>
      </c>
      <c r="H100" s="4" t="str">
        <f t="shared" ref="H100:H107" si="123">IF(A100&lt;=$C$19,IF($H$18="PFAE",0,F100*0.16),"")</f>
        <v/>
      </c>
      <c r="I100" s="4" t="str">
        <f t="shared" ref="I100:I107" si="124">IF(A100&lt;=$C$19,G100+H100,"")</f>
        <v/>
      </c>
      <c r="K100" s="5"/>
      <c r="L100" s="6" t="str">
        <f t="shared" si="113"/>
        <v/>
      </c>
      <c r="M100" s="10" t="str">
        <f t="shared" ref="M100:M107" si="125">C100</f>
        <v/>
      </c>
      <c r="N100" s="4" t="str">
        <f t="shared" si="102"/>
        <v/>
      </c>
      <c r="O100" s="4" t="str">
        <f t="shared" ref="O100:O107" si="126">IF(A100&lt;=$C$19,Q100-P100,"")</f>
        <v/>
      </c>
      <c r="P100" s="4" t="str">
        <f t="shared" ref="P100:P107" si="127">IF(A100&lt;=$C$19,N100*$C$20/12,"")</f>
        <v/>
      </c>
      <c r="Q100" s="4" t="str">
        <f t="shared" ref="Q100:Q107" si="128">IF(A100&lt;=$C$19,HLOOKUP($C$19,$M$29:$R$30,2,0),"")</f>
        <v/>
      </c>
      <c r="R100" s="4" t="str">
        <f t="shared" ref="R100:R107" si="129">IF(A100&lt;=$C$19,P100*0.16,"")</f>
        <v/>
      </c>
      <c r="S100" s="4" t="str">
        <f t="shared" ref="S100:S107" si="130">IF(A100&lt;=$C$19,Q100+R100,"")</f>
        <v/>
      </c>
      <c r="T100" s="5"/>
      <c r="V100" s="6" t="str">
        <f t="shared" ref="V100:V107" si="131">L100</f>
        <v/>
      </c>
      <c r="W100" s="10" t="str">
        <f t="shared" si="44"/>
        <v/>
      </c>
      <c r="X100" s="4" t="str">
        <f t="shared" si="108"/>
        <v/>
      </c>
      <c r="Y100" s="4" t="str">
        <f t="shared" ref="Y100:Y107" si="132">IFERROR(IF(A100&lt;=$C$19,AA100-Z100,""),0)</f>
        <v/>
      </c>
      <c r="Z100" s="4" t="str">
        <f t="shared" ref="Z100:Z107" si="133">IFERROR(IF(A100&lt;=$C$19,X100*$C$20/12,""),0)</f>
        <v/>
      </c>
      <c r="AA100" s="4">
        <f t="shared" si="111"/>
        <v>0</v>
      </c>
      <c r="AB100" s="4" t="str">
        <f t="shared" ref="AB100:AB107" si="134">IF(A100&lt;=$C$19,Z100*0.16,"")</f>
        <v/>
      </c>
      <c r="AC100" s="4" t="str">
        <f t="shared" ref="AC100:AC107" si="135">IFERROR(IF(A100&lt;=$C$19,AA100+AB100,""),0)</f>
        <v/>
      </c>
      <c r="AD100" s="5"/>
      <c r="AF100" s="6" t="str">
        <f t="shared" ref="AF100:AF107" si="136">V100</f>
        <v/>
      </c>
      <c r="AG100" s="10" t="str">
        <f t="shared" si="46"/>
        <v/>
      </c>
      <c r="AH100" s="4" t="str">
        <f t="shared" si="112"/>
        <v/>
      </c>
      <c r="AI100" s="4" t="str">
        <f t="shared" ref="AI100:AI107" si="137">IF(A100&lt;=$C$19,AK100-AJ100,"")</f>
        <v/>
      </c>
      <c r="AJ100" s="4" t="str">
        <f t="shared" ref="AJ100:AJ107" si="138">IF(A100&lt;=$C$19,AH100*$C$20/12,"")</f>
        <v/>
      </c>
      <c r="AK100" s="4" t="str">
        <f t="shared" ref="AK100:AK107" si="139">IF(A100&lt;=$C$19,HLOOKUP($C$19,$AG$29:$AL$30,2,0),"")</f>
        <v/>
      </c>
      <c r="AL100" s="4" t="str">
        <f t="shared" ref="AL100:AL107" si="140">IF(A100&lt;=$C$19,AJ100*0.16,"")</f>
        <v/>
      </c>
      <c r="AM100" s="4" t="str">
        <f t="shared" ref="AM100:AM107" si="141">IF(A100&lt;=$C$19,AK100+AL100,"")</f>
        <v/>
      </c>
      <c r="AN100" s="5"/>
      <c r="AP100" s="6" t="str">
        <f t="shared" si="114"/>
        <v/>
      </c>
      <c r="AQ100" s="10" t="str">
        <f t="shared" ref="AQ100:AQ107" si="142">C100</f>
        <v/>
      </c>
      <c r="AR100" s="4" t="str">
        <f t="shared" si="103"/>
        <v/>
      </c>
      <c r="AS100" s="4" t="str">
        <f t="shared" ref="AS100:AS107" si="143">IF(A100&lt;=$C$19,AU100-AT100,"")</f>
        <v/>
      </c>
      <c r="AT100" s="4" t="str">
        <f t="shared" ref="AT100:AT107" si="144">IF(A100&lt;=$C$19,AR100*$C$20/12,"")</f>
        <v/>
      </c>
      <c r="AU100" s="4" t="str">
        <f t="shared" ref="AU100:AU107" si="145">IF(A100&lt;=$C$19,HLOOKUP($C$19,$AQ$29:$AV$30,2,0),"")</f>
        <v/>
      </c>
      <c r="AV100" s="4" t="str">
        <f t="shared" ref="AV100:AV107" si="146">IF(A100&lt;=$C$19,AT100*0.16,"")</f>
        <v/>
      </c>
      <c r="AW100" s="4" t="str">
        <f t="shared" ref="AW100:AW107" si="147">IF(A100&lt;=$C$19,AU100+AV100,"")</f>
        <v/>
      </c>
      <c r="AZ100" s="6" t="str">
        <f t="shared" si="115"/>
        <v/>
      </c>
      <c r="BA100" s="10" t="str">
        <f t="shared" si="116"/>
        <v/>
      </c>
      <c r="BB100" s="4" t="str">
        <f t="shared" si="104"/>
        <v/>
      </c>
      <c r="BC100" s="4" t="str">
        <f t="shared" ref="BC100:BC107" si="148">IF(A100&lt;=$C$19,BE100-BD100,"")</f>
        <v/>
      </c>
      <c r="BD100" s="4" t="str">
        <f t="shared" ref="BD100:BD107" si="149">IF(A100&lt;=$C$19,BB100*$C$20/12,"")</f>
        <v/>
      </c>
      <c r="BE100" s="4" t="str">
        <f t="shared" ref="BE100:BE107" si="150">IF(A100&lt;=$C$19,HLOOKUP($C$19,$BA$29:$BF$30,2,0),"")</f>
        <v/>
      </c>
      <c r="BF100" s="4" t="str">
        <f t="shared" ref="BF100:BF107" si="151">IF(A100&lt;=$C$19,BD100*0.16,"")</f>
        <v/>
      </c>
      <c r="BG100" s="4" t="str">
        <f t="shared" ref="BG100:BG107" si="152">IF(A100&lt;=$C$19,BE100+BF100,"")</f>
        <v/>
      </c>
      <c r="BH100" s="5"/>
      <c r="BI100" s="7" t="str">
        <f t="shared" si="60"/>
        <v/>
      </c>
      <c r="BJ100" s="7" t="str">
        <f t="shared" si="117"/>
        <v/>
      </c>
      <c r="BK100" s="7"/>
      <c r="BM100" s="6">
        <v>66</v>
      </c>
      <c r="BN100" s="5" t="str">
        <f t="shared" si="50"/>
        <v/>
      </c>
      <c r="BO100" s="5" t="str">
        <f t="shared" si="51"/>
        <v/>
      </c>
      <c r="BP100" s="5" t="str">
        <f t="shared" si="52"/>
        <v/>
      </c>
      <c r="BQ100" s="5">
        <f t="shared" si="53"/>
        <v>0</v>
      </c>
      <c r="BR100" s="5" t="str">
        <f t="shared" si="54"/>
        <v/>
      </c>
      <c r="CC100" s="6"/>
      <c r="CD100" s="54"/>
      <c r="CE100" s="55"/>
      <c r="CF100" s="55"/>
      <c r="CG100" s="55"/>
      <c r="CH100" s="55"/>
      <c r="CI100" s="55"/>
      <c r="CJ100" s="55"/>
      <c r="DB100" s="4"/>
    </row>
    <row r="101" spans="1:106" x14ac:dyDescent="0.3">
      <c r="A101" s="9">
        <v>66</v>
      </c>
      <c r="B101" s="6" t="str">
        <f t="shared" si="118"/>
        <v/>
      </c>
      <c r="C101" s="46" t="str">
        <f>IF(A101&lt;=$C$19,'Fechas de pago'!B85,"")</f>
        <v/>
      </c>
      <c r="D101" s="4" t="str">
        <f t="shared" si="119"/>
        <v/>
      </c>
      <c r="E101" s="4" t="str">
        <f t="shared" si="120"/>
        <v/>
      </c>
      <c r="F101" s="4" t="str">
        <f t="shared" si="121"/>
        <v/>
      </c>
      <c r="G101" s="4" t="str">
        <f t="shared" si="122"/>
        <v/>
      </c>
      <c r="H101" s="4" t="str">
        <f t="shared" si="123"/>
        <v/>
      </c>
      <c r="I101" s="4" t="str">
        <f t="shared" si="124"/>
        <v/>
      </c>
      <c r="K101" s="5"/>
      <c r="L101" s="6" t="str">
        <f t="shared" si="113"/>
        <v/>
      </c>
      <c r="M101" s="10" t="str">
        <f t="shared" si="125"/>
        <v/>
      </c>
      <c r="N101" s="4" t="str">
        <f t="shared" ref="N101:N107" si="153">IF(A101&lt;=$C$19,N100-O100,"")</f>
        <v/>
      </c>
      <c r="O101" s="4" t="str">
        <f t="shared" si="126"/>
        <v/>
      </c>
      <c r="P101" s="4" t="str">
        <f t="shared" si="127"/>
        <v/>
      </c>
      <c r="Q101" s="4" t="str">
        <f t="shared" si="128"/>
        <v/>
      </c>
      <c r="R101" s="4" t="str">
        <f t="shared" si="129"/>
        <v/>
      </c>
      <c r="S101" s="4" t="str">
        <f t="shared" si="130"/>
        <v/>
      </c>
      <c r="T101" s="5"/>
      <c r="V101" s="6" t="str">
        <f t="shared" si="131"/>
        <v/>
      </c>
      <c r="W101" s="10" t="str">
        <f t="shared" ref="W101:W107" si="154">M101</f>
        <v/>
      </c>
      <c r="X101" s="4" t="str">
        <f t="shared" si="108"/>
        <v/>
      </c>
      <c r="Y101" s="4" t="str">
        <f t="shared" si="132"/>
        <v/>
      </c>
      <c r="Z101" s="4" t="str">
        <f t="shared" si="133"/>
        <v/>
      </c>
      <c r="AA101" s="4">
        <f t="shared" si="111"/>
        <v>0</v>
      </c>
      <c r="AB101" s="4" t="str">
        <f t="shared" si="134"/>
        <v/>
      </c>
      <c r="AC101" s="4" t="str">
        <f t="shared" si="135"/>
        <v/>
      </c>
      <c r="AD101" s="5"/>
      <c r="AF101" s="6" t="str">
        <f t="shared" si="136"/>
        <v/>
      </c>
      <c r="AG101" s="10" t="str">
        <f t="shared" ref="AG101:AG107" si="155">W101</f>
        <v/>
      </c>
      <c r="AH101" s="4" t="str">
        <f t="shared" si="112"/>
        <v/>
      </c>
      <c r="AI101" s="4" t="str">
        <f t="shared" si="137"/>
        <v/>
      </c>
      <c r="AJ101" s="4" t="str">
        <f t="shared" si="138"/>
        <v/>
      </c>
      <c r="AK101" s="4" t="str">
        <f t="shared" si="139"/>
        <v/>
      </c>
      <c r="AL101" s="4" t="str">
        <f t="shared" si="140"/>
        <v/>
      </c>
      <c r="AM101" s="4" t="str">
        <f t="shared" si="141"/>
        <v/>
      </c>
      <c r="AN101" s="5"/>
      <c r="AP101" s="6" t="str">
        <f t="shared" si="114"/>
        <v/>
      </c>
      <c r="AQ101" s="10" t="str">
        <f t="shared" si="142"/>
        <v/>
      </c>
      <c r="AR101" s="4" t="str">
        <f t="shared" ref="AR101:AR107" si="156">IF(A101&lt;=$C$19,AR100-AS100,"")</f>
        <v/>
      </c>
      <c r="AS101" s="4" t="str">
        <f t="shared" si="143"/>
        <v/>
      </c>
      <c r="AT101" s="4" t="str">
        <f t="shared" si="144"/>
        <v/>
      </c>
      <c r="AU101" s="4" t="str">
        <f t="shared" si="145"/>
        <v/>
      </c>
      <c r="AV101" s="4" t="str">
        <f t="shared" si="146"/>
        <v/>
      </c>
      <c r="AW101" s="4" t="str">
        <f t="shared" si="147"/>
        <v/>
      </c>
      <c r="AZ101" s="6" t="str">
        <f t="shared" si="115"/>
        <v/>
      </c>
      <c r="BA101" s="10" t="str">
        <f t="shared" si="116"/>
        <v/>
      </c>
      <c r="BB101" s="4" t="str">
        <f t="shared" ref="BB101:BB107" si="157">IF(A101&lt;=$C$19,BB100-BC100,"")</f>
        <v/>
      </c>
      <c r="BC101" s="4" t="str">
        <f t="shared" si="148"/>
        <v/>
      </c>
      <c r="BD101" s="4" t="str">
        <f t="shared" si="149"/>
        <v/>
      </c>
      <c r="BE101" s="4" t="str">
        <f t="shared" si="150"/>
        <v/>
      </c>
      <c r="BF101" s="4" t="str">
        <f t="shared" si="151"/>
        <v/>
      </c>
      <c r="BG101" s="4" t="str">
        <f t="shared" si="152"/>
        <v/>
      </c>
      <c r="BH101" s="5"/>
      <c r="BI101" s="7" t="str">
        <f t="shared" si="60"/>
        <v/>
      </c>
      <c r="BJ101" s="7" t="str">
        <f t="shared" si="117"/>
        <v/>
      </c>
      <c r="BK101" s="7"/>
      <c r="BM101" s="6">
        <v>67</v>
      </c>
      <c r="BN101" s="5" t="str">
        <f t="shared" ref="BN101:BN107" si="158">Q101</f>
        <v/>
      </c>
      <c r="BO101" s="5" t="str">
        <f t="shared" ref="BO101:BO107" si="159">BE101</f>
        <v/>
      </c>
      <c r="BP101" s="5" t="str">
        <f t="shared" ref="BP101:BP107" si="160">AU101</f>
        <v/>
      </c>
      <c r="BQ101" s="5">
        <f t="shared" ref="BQ101:BQ107" si="161">AA101</f>
        <v>0</v>
      </c>
      <c r="BR101" s="5" t="str">
        <f t="shared" ref="BR101:BR107" si="162">AK101</f>
        <v/>
      </c>
      <c r="CC101" s="6"/>
      <c r="CD101" s="54"/>
      <c r="CE101" s="55"/>
      <c r="CF101" s="55"/>
      <c r="CG101" s="55"/>
      <c r="CH101" s="55"/>
      <c r="CI101" s="55"/>
      <c r="CJ101" s="55"/>
      <c r="DB101" s="4"/>
    </row>
    <row r="102" spans="1:106" x14ac:dyDescent="0.3">
      <c r="A102" s="9">
        <v>67</v>
      </c>
      <c r="B102" s="6" t="str">
        <f t="shared" si="118"/>
        <v/>
      </c>
      <c r="C102" s="46" t="str">
        <f>IF(A102&lt;=$C$19,'Fechas de pago'!B86,"")</f>
        <v/>
      </c>
      <c r="D102" s="4" t="str">
        <f t="shared" si="119"/>
        <v/>
      </c>
      <c r="E102" s="4" t="str">
        <f t="shared" si="120"/>
        <v/>
      </c>
      <c r="F102" s="4" t="str">
        <f t="shared" si="121"/>
        <v/>
      </c>
      <c r="G102" s="4" t="str">
        <f t="shared" si="122"/>
        <v/>
      </c>
      <c r="H102" s="4" t="str">
        <f t="shared" si="123"/>
        <v/>
      </c>
      <c r="I102" s="4" t="str">
        <f t="shared" si="124"/>
        <v/>
      </c>
      <c r="K102" s="5"/>
      <c r="L102" s="6" t="str">
        <f t="shared" si="113"/>
        <v/>
      </c>
      <c r="M102" s="10" t="str">
        <f t="shared" si="125"/>
        <v/>
      </c>
      <c r="N102" s="4" t="str">
        <f t="shared" si="153"/>
        <v/>
      </c>
      <c r="O102" s="4" t="str">
        <f t="shared" si="126"/>
        <v/>
      </c>
      <c r="P102" s="4" t="str">
        <f t="shared" si="127"/>
        <v/>
      </c>
      <c r="Q102" s="4" t="str">
        <f t="shared" si="128"/>
        <v/>
      </c>
      <c r="R102" s="4" t="str">
        <f t="shared" si="129"/>
        <v/>
      </c>
      <c r="S102" s="4" t="str">
        <f t="shared" si="130"/>
        <v/>
      </c>
      <c r="T102" s="5"/>
      <c r="V102" s="6" t="str">
        <f t="shared" si="131"/>
        <v/>
      </c>
      <c r="W102" s="10" t="str">
        <f t="shared" si="154"/>
        <v/>
      </c>
      <c r="X102" s="4" t="str">
        <f t="shared" si="108"/>
        <v/>
      </c>
      <c r="Y102" s="4" t="str">
        <f t="shared" si="132"/>
        <v/>
      </c>
      <c r="Z102" s="4" t="str">
        <f t="shared" si="133"/>
        <v/>
      </c>
      <c r="AA102" s="4">
        <f t="shared" si="111"/>
        <v>0</v>
      </c>
      <c r="AB102" s="4" t="str">
        <f t="shared" si="134"/>
        <v/>
      </c>
      <c r="AC102" s="4" t="str">
        <f t="shared" si="135"/>
        <v/>
      </c>
      <c r="AD102" s="5"/>
      <c r="AF102" s="6" t="str">
        <f t="shared" si="136"/>
        <v/>
      </c>
      <c r="AG102" s="10" t="str">
        <f t="shared" si="155"/>
        <v/>
      </c>
      <c r="AH102" s="4" t="str">
        <f t="shared" si="112"/>
        <v/>
      </c>
      <c r="AI102" s="4" t="str">
        <f t="shared" si="137"/>
        <v/>
      </c>
      <c r="AJ102" s="4" t="str">
        <f t="shared" si="138"/>
        <v/>
      </c>
      <c r="AK102" s="4" t="str">
        <f t="shared" si="139"/>
        <v/>
      </c>
      <c r="AL102" s="4" t="str">
        <f t="shared" si="140"/>
        <v/>
      </c>
      <c r="AM102" s="4" t="str">
        <f t="shared" si="141"/>
        <v/>
      </c>
      <c r="AN102" s="5"/>
      <c r="AP102" s="6" t="str">
        <f t="shared" si="114"/>
        <v/>
      </c>
      <c r="AQ102" s="10" t="str">
        <f t="shared" si="142"/>
        <v/>
      </c>
      <c r="AR102" s="4" t="str">
        <f t="shared" si="156"/>
        <v/>
      </c>
      <c r="AS102" s="4" t="str">
        <f t="shared" si="143"/>
        <v/>
      </c>
      <c r="AT102" s="4" t="str">
        <f t="shared" si="144"/>
        <v/>
      </c>
      <c r="AU102" s="4" t="str">
        <f t="shared" si="145"/>
        <v/>
      </c>
      <c r="AV102" s="4" t="str">
        <f t="shared" si="146"/>
        <v/>
      </c>
      <c r="AW102" s="4" t="str">
        <f t="shared" si="147"/>
        <v/>
      </c>
      <c r="AZ102" s="6" t="str">
        <f t="shared" si="115"/>
        <v/>
      </c>
      <c r="BA102" s="10" t="str">
        <f t="shared" si="116"/>
        <v/>
      </c>
      <c r="BB102" s="4" t="str">
        <f t="shared" si="157"/>
        <v/>
      </c>
      <c r="BC102" s="4" t="str">
        <f t="shared" si="148"/>
        <v/>
      </c>
      <c r="BD102" s="4" t="str">
        <f t="shared" si="149"/>
        <v/>
      </c>
      <c r="BE102" s="4" t="str">
        <f t="shared" si="150"/>
        <v/>
      </c>
      <c r="BF102" s="4" t="str">
        <f t="shared" si="151"/>
        <v/>
      </c>
      <c r="BG102" s="4" t="str">
        <f t="shared" si="152"/>
        <v/>
      </c>
      <c r="BH102" s="5"/>
      <c r="BI102" s="7" t="str">
        <f t="shared" si="60"/>
        <v/>
      </c>
      <c r="BJ102" s="7" t="str">
        <f t="shared" si="117"/>
        <v/>
      </c>
      <c r="BK102" s="7"/>
      <c r="BM102" s="6">
        <v>68</v>
      </c>
      <c r="BN102" s="5" t="str">
        <f t="shared" si="158"/>
        <v/>
      </c>
      <c r="BO102" s="5" t="str">
        <f t="shared" si="159"/>
        <v/>
      </c>
      <c r="BP102" s="5" t="str">
        <f t="shared" si="160"/>
        <v/>
      </c>
      <c r="BQ102" s="5">
        <f t="shared" si="161"/>
        <v>0</v>
      </c>
      <c r="BR102" s="5" t="str">
        <f t="shared" si="162"/>
        <v/>
      </c>
      <c r="CC102" s="6"/>
      <c r="CD102" s="54"/>
      <c r="CE102" s="55"/>
      <c r="CF102" s="55"/>
      <c r="CG102" s="55"/>
      <c r="CH102" s="55"/>
      <c r="CI102" s="55"/>
      <c r="CJ102" s="55"/>
      <c r="DB102" s="4"/>
    </row>
    <row r="103" spans="1:106" x14ac:dyDescent="0.3">
      <c r="A103" s="9">
        <v>68</v>
      </c>
      <c r="B103" s="6" t="str">
        <f t="shared" si="118"/>
        <v/>
      </c>
      <c r="C103" s="46" t="str">
        <f>IF(A103&lt;=$C$19,'Fechas de pago'!B87,"")</f>
        <v/>
      </c>
      <c r="D103" s="4" t="str">
        <f t="shared" si="119"/>
        <v/>
      </c>
      <c r="E103" s="4" t="str">
        <f t="shared" si="120"/>
        <v/>
      </c>
      <c r="F103" s="4" t="str">
        <f t="shared" si="121"/>
        <v/>
      </c>
      <c r="G103" s="4" t="str">
        <f t="shared" si="122"/>
        <v/>
      </c>
      <c r="H103" s="4" t="str">
        <f t="shared" si="123"/>
        <v/>
      </c>
      <c r="I103" s="4" t="str">
        <f t="shared" si="124"/>
        <v/>
      </c>
      <c r="K103" s="5"/>
      <c r="L103" s="6" t="str">
        <f t="shared" si="113"/>
        <v/>
      </c>
      <c r="M103" s="10" t="str">
        <f t="shared" si="125"/>
        <v/>
      </c>
      <c r="N103" s="4" t="str">
        <f t="shared" si="153"/>
        <v/>
      </c>
      <c r="O103" s="4" t="str">
        <f t="shared" si="126"/>
        <v/>
      </c>
      <c r="P103" s="4" t="str">
        <f t="shared" si="127"/>
        <v/>
      </c>
      <c r="Q103" s="4" t="str">
        <f t="shared" si="128"/>
        <v/>
      </c>
      <c r="R103" s="4" t="str">
        <f t="shared" si="129"/>
        <v/>
      </c>
      <c r="S103" s="4" t="str">
        <f t="shared" si="130"/>
        <v/>
      </c>
      <c r="T103" s="5"/>
      <c r="V103" s="6" t="str">
        <f t="shared" si="131"/>
        <v/>
      </c>
      <c r="W103" s="10" t="str">
        <f t="shared" si="154"/>
        <v/>
      </c>
      <c r="X103" s="4" t="str">
        <f t="shared" si="108"/>
        <v/>
      </c>
      <c r="Y103" s="4" t="str">
        <f t="shared" si="132"/>
        <v/>
      </c>
      <c r="Z103" s="4" t="str">
        <f t="shared" si="133"/>
        <v/>
      </c>
      <c r="AA103" s="4">
        <f t="shared" si="111"/>
        <v>0</v>
      </c>
      <c r="AB103" s="4" t="str">
        <f t="shared" si="134"/>
        <v/>
      </c>
      <c r="AC103" s="4" t="str">
        <f t="shared" si="135"/>
        <v/>
      </c>
      <c r="AD103" s="5"/>
      <c r="AF103" s="6" t="str">
        <f t="shared" si="136"/>
        <v/>
      </c>
      <c r="AG103" s="10" t="str">
        <f t="shared" si="155"/>
        <v/>
      </c>
      <c r="AH103" s="4" t="str">
        <f t="shared" si="112"/>
        <v/>
      </c>
      <c r="AI103" s="4" t="str">
        <f t="shared" si="137"/>
        <v/>
      </c>
      <c r="AJ103" s="4" t="str">
        <f t="shared" si="138"/>
        <v/>
      </c>
      <c r="AK103" s="4" t="str">
        <f t="shared" si="139"/>
        <v/>
      </c>
      <c r="AL103" s="4" t="str">
        <f t="shared" si="140"/>
        <v/>
      </c>
      <c r="AM103" s="4" t="str">
        <f t="shared" si="141"/>
        <v/>
      </c>
      <c r="AN103" s="5"/>
      <c r="AP103" s="6" t="str">
        <f t="shared" si="114"/>
        <v/>
      </c>
      <c r="AQ103" s="10" t="str">
        <f t="shared" si="142"/>
        <v/>
      </c>
      <c r="AR103" s="4" t="str">
        <f t="shared" si="156"/>
        <v/>
      </c>
      <c r="AS103" s="4" t="str">
        <f t="shared" si="143"/>
        <v/>
      </c>
      <c r="AT103" s="4" t="str">
        <f t="shared" si="144"/>
        <v/>
      </c>
      <c r="AU103" s="4" t="str">
        <f t="shared" si="145"/>
        <v/>
      </c>
      <c r="AV103" s="4" t="str">
        <f t="shared" si="146"/>
        <v/>
      </c>
      <c r="AW103" s="4" t="str">
        <f t="shared" si="147"/>
        <v/>
      </c>
      <c r="AZ103" s="6" t="str">
        <f t="shared" si="115"/>
        <v/>
      </c>
      <c r="BA103" s="10" t="str">
        <f t="shared" si="116"/>
        <v/>
      </c>
      <c r="BB103" s="4" t="str">
        <f t="shared" si="157"/>
        <v/>
      </c>
      <c r="BC103" s="4" t="str">
        <f t="shared" si="148"/>
        <v/>
      </c>
      <c r="BD103" s="4" t="str">
        <f t="shared" si="149"/>
        <v/>
      </c>
      <c r="BE103" s="4" t="str">
        <f t="shared" si="150"/>
        <v/>
      </c>
      <c r="BF103" s="4" t="str">
        <f t="shared" si="151"/>
        <v/>
      </c>
      <c r="BG103" s="4" t="str">
        <f t="shared" si="152"/>
        <v/>
      </c>
      <c r="BH103" s="5"/>
      <c r="BI103" s="7" t="str">
        <f t="shared" si="60"/>
        <v/>
      </c>
      <c r="BJ103" s="7" t="str">
        <f t="shared" si="117"/>
        <v/>
      </c>
      <c r="BK103" s="7"/>
      <c r="BM103" s="6">
        <v>69</v>
      </c>
      <c r="BN103" s="5" t="str">
        <f t="shared" si="158"/>
        <v/>
      </c>
      <c r="BO103" s="5" t="str">
        <f t="shared" si="159"/>
        <v/>
      </c>
      <c r="BP103" s="5" t="str">
        <f t="shared" si="160"/>
        <v/>
      </c>
      <c r="BQ103" s="5">
        <f t="shared" si="161"/>
        <v>0</v>
      </c>
      <c r="BR103" s="5" t="str">
        <f t="shared" si="162"/>
        <v/>
      </c>
      <c r="CC103" s="6"/>
      <c r="CD103" s="54"/>
      <c r="CE103" s="55"/>
      <c r="CF103" s="55"/>
      <c r="CG103" s="55"/>
      <c r="CH103" s="55"/>
      <c r="CI103" s="55"/>
      <c r="CJ103" s="55"/>
      <c r="DB103" s="4"/>
    </row>
    <row r="104" spans="1:106" x14ac:dyDescent="0.3">
      <c r="A104" s="9">
        <v>69</v>
      </c>
      <c r="B104" s="6" t="str">
        <f t="shared" si="118"/>
        <v/>
      </c>
      <c r="C104" s="46" t="str">
        <f>IF(A104&lt;=$C$19,'Fechas de pago'!B88,"")</f>
        <v/>
      </c>
      <c r="D104" s="4" t="str">
        <f t="shared" si="119"/>
        <v/>
      </c>
      <c r="E104" s="4" t="str">
        <f t="shared" si="120"/>
        <v/>
      </c>
      <c r="F104" s="4" t="str">
        <f t="shared" si="121"/>
        <v/>
      </c>
      <c r="G104" s="4" t="str">
        <f t="shared" si="122"/>
        <v/>
      </c>
      <c r="H104" s="4" t="str">
        <f t="shared" si="123"/>
        <v/>
      </c>
      <c r="I104" s="4" t="str">
        <f t="shared" si="124"/>
        <v/>
      </c>
      <c r="K104" s="5"/>
      <c r="L104" s="6" t="str">
        <f t="shared" si="113"/>
        <v/>
      </c>
      <c r="M104" s="10" t="str">
        <f t="shared" si="125"/>
        <v/>
      </c>
      <c r="N104" s="4" t="str">
        <f t="shared" si="153"/>
        <v/>
      </c>
      <c r="O104" s="4" t="str">
        <f t="shared" si="126"/>
        <v/>
      </c>
      <c r="P104" s="4" t="str">
        <f t="shared" si="127"/>
        <v/>
      </c>
      <c r="Q104" s="4" t="str">
        <f t="shared" si="128"/>
        <v/>
      </c>
      <c r="R104" s="4" t="str">
        <f t="shared" si="129"/>
        <v/>
      </c>
      <c r="S104" s="4" t="str">
        <f t="shared" si="130"/>
        <v/>
      </c>
      <c r="T104" s="5"/>
      <c r="V104" s="6" t="str">
        <f t="shared" si="131"/>
        <v/>
      </c>
      <c r="W104" s="10" t="str">
        <f t="shared" si="154"/>
        <v/>
      </c>
      <c r="X104" s="4" t="str">
        <f t="shared" si="108"/>
        <v/>
      </c>
      <c r="Y104" s="4" t="str">
        <f t="shared" si="132"/>
        <v/>
      </c>
      <c r="Z104" s="4" t="str">
        <f t="shared" si="133"/>
        <v/>
      </c>
      <c r="AA104" s="4">
        <f t="shared" si="111"/>
        <v>0</v>
      </c>
      <c r="AB104" s="4" t="str">
        <f t="shared" si="134"/>
        <v/>
      </c>
      <c r="AC104" s="4" t="str">
        <f t="shared" si="135"/>
        <v/>
      </c>
      <c r="AD104" s="5"/>
      <c r="AF104" s="6" t="str">
        <f t="shared" si="136"/>
        <v/>
      </c>
      <c r="AG104" s="10" t="str">
        <f t="shared" si="155"/>
        <v/>
      </c>
      <c r="AH104" s="4" t="str">
        <f t="shared" si="112"/>
        <v/>
      </c>
      <c r="AI104" s="4" t="str">
        <f t="shared" si="137"/>
        <v/>
      </c>
      <c r="AJ104" s="4" t="str">
        <f t="shared" si="138"/>
        <v/>
      </c>
      <c r="AK104" s="4" t="str">
        <f t="shared" si="139"/>
        <v/>
      </c>
      <c r="AL104" s="4" t="str">
        <f t="shared" si="140"/>
        <v/>
      </c>
      <c r="AM104" s="4" t="str">
        <f t="shared" si="141"/>
        <v/>
      </c>
      <c r="AN104" s="5"/>
      <c r="AP104" s="6" t="str">
        <f t="shared" si="114"/>
        <v/>
      </c>
      <c r="AQ104" s="10" t="str">
        <f t="shared" si="142"/>
        <v/>
      </c>
      <c r="AR104" s="4" t="str">
        <f t="shared" si="156"/>
        <v/>
      </c>
      <c r="AS104" s="4" t="str">
        <f t="shared" si="143"/>
        <v/>
      </c>
      <c r="AT104" s="4" t="str">
        <f t="shared" si="144"/>
        <v/>
      </c>
      <c r="AU104" s="4" t="str">
        <f t="shared" si="145"/>
        <v/>
      </c>
      <c r="AV104" s="4" t="str">
        <f t="shared" si="146"/>
        <v/>
      </c>
      <c r="AW104" s="4" t="str">
        <f t="shared" si="147"/>
        <v/>
      </c>
      <c r="AZ104" s="6" t="str">
        <f t="shared" si="115"/>
        <v/>
      </c>
      <c r="BA104" s="10" t="str">
        <f t="shared" si="116"/>
        <v/>
      </c>
      <c r="BB104" s="4" t="str">
        <f t="shared" si="157"/>
        <v/>
      </c>
      <c r="BC104" s="4" t="str">
        <f t="shared" si="148"/>
        <v/>
      </c>
      <c r="BD104" s="4" t="str">
        <f t="shared" si="149"/>
        <v/>
      </c>
      <c r="BE104" s="4" t="str">
        <f t="shared" si="150"/>
        <v/>
      </c>
      <c r="BF104" s="4" t="str">
        <f t="shared" si="151"/>
        <v/>
      </c>
      <c r="BG104" s="4" t="str">
        <f t="shared" si="152"/>
        <v/>
      </c>
      <c r="BH104" s="5"/>
      <c r="BI104" s="7" t="str">
        <f t="shared" si="60"/>
        <v/>
      </c>
      <c r="BJ104" s="7" t="str">
        <f t="shared" si="117"/>
        <v/>
      </c>
      <c r="BK104" s="7"/>
      <c r="BM104" s="6">
        <v>70</v>
      </c>
      <c r="BN104" s="5" t="str">
        <f t="shared" si="158"/>
        <v/>
      </c>
      <c r="BO104" s="5" t="str">
        <f t="shared" si="159"/>
        <v/>
      </c>
      <c r="BP104" s="5" t="str">
        <f t="shared" si="160"/>
        <v/>
      </c>
      <c r="BQ104" s="5">
        <f t="shared" si="161"/>
        <v>0</v>
      </c>
      <c r="BR104" s="5" t="str">
        <f t="shared" si="162"/>
        <v/>
      </c>
      <c r="CC104" s="6"/>
      <c r="CD104" s="54"/>
      <c r="CE104" s="55"/>
      <c r="CF104" s="55"/>
      <c r="CG104" s="55"/>
      <c r="CH104" s="55"/>
      <c r="CI104" s="55"/>
      <c r="CJ104" s="55"/>
      <c r="DB104" s="4"/>
    </row>
    <row r="105" spans="1:106" x14ac:dyDescent="0.3">
      <c r="A105" s="9">
        <v>70</v>
      </c>
      <c r="B105" s="6" t="str">
        <f t="shared" si="118"/>
        <v/>
      </c>
      <c r="C105" s="46" t="str">
        <f>IF(A105&lt;=$C$19,'Fechas de pago'!B89,"")</f>
        <v/>
      </c>
      <c r="D105" s="4" t="str">
        <f t="shared" si="119"/>
        <v/>
      </c>
      <c r="E105" s="4" t="str">
        <f t="shared" si="120"/>
        <v/>
      </c>
      <c r="F105" s="4" t="str">
        <f t="shared" si="121"/>
        <v/>
      </c>
      <c r="G105" s="4" t="str">
        <f t="shared" si="122"/>
        <v/>
      </c>
      <c r="H105" s="4" t="str">
        <f t="shared" si="123"/>
        <v/>
      </c>
      <c r="I105" s="4" t="str">
        <f t="shared" si="124"/>
        <v/>
      </c>
      <c r="K105" s="5"/>
      <c r="L105" s="6" t="str">
        <f t="shared" si="113"/>
        <v/>
      </c>
      <c r="M105" s="10" t="str">
        <f t="shared" si="125"/>
        <v/>
      </c>
      <c r="N105" s="4" t="str">
        <f t="shared" si="153"/>
        <v/>
      </c>
      <c r="O105" s="4" t="str">
        <f t="shared" si="126"/>
        <v/>
      </c>
      <c r="P105" s="4" t="str">
        <f t="shared" si="127"/>
        <v/>
      </c>
      <c r="Q105" s="4" t="str">
        <f t="shared" si="128"/>
        <v/>
      </c>
      <c r="R105" s="4" t="str">
        <f t="shared" si="129"/>
        <v/>
      </c>
      <c r="S105" s="4" t="str">
        <f t="shared" si="130"/>
        <v/>
      </c>
      <c r="T105" s="5"/>
      <c r="V105" s="6" t="str">
        <f t="shared" si="131"/>
        <v/>
      </c>
      <c r="W105" s="10" t="str">
        <f t="shared" si="154"/>
        <v/>
      </c>
      <c r="X105" s="4" t="str">
        <f t="shared" si="108"/>
        <v/>
      </c>
      <c r="Y105" s="4" t="str">
        <f t="shared" si="132"/>
        <v/>
      </c>
      <c r="Z105" s="4" t="str">
        <f t="shared" si="133"/>
        <v/>
      </c>
      <c r="AA105" s="4">
        <f t="shared" si="111"/>
        <v>0</v>
      </c>
      <c r="AB105" s="4" t="str">
        <f t="shared" si="134"/>
        <v/>
      </c>
      <c r="AC105" s="4" t="str">
        <f t="shared" si="135"/>
        <v/>
      </c>
      <c r="AD105" s="5"/>
      <c r="AF105" s="6" t="str">
        <f t="shared" si="136"/>
        <v/>
      </c>
      <c r="AG105" s="10" t="str">
        <f t="shared" si="155"/>
        <v/>
      </c>
      <c r="AH105" s="4" t="str">
        <f t="shared" si="112"/>
        <v/>
      </c>
      <c r="AI105" s="4" t="str">
        <f t="shared" si="137"/>
        <v/>
      </c>
      <c r="AJ105" s="4" t="str">
        <f t="shared" si="138"/>
        <v/>
      </c>
      <c r="AK105" s="4" t="str">
        <f t="shared" si="139"/>
        <v/>
      </c>
      <c r="AL105" s="4" t="str">
        <f t="shared" si="140"/>
        <v/>
      </c>
      <c r="AM105" s="4" t="str">
        <f t="shared" si="141"/>
        <v/>
      </c>
      <c r="AN105" s="5"/>
      <c r="AP105" s="6" t="str">
        <f t="shared" si="114"/>
        <v/>
      </c>
      <c r="AQ105" s="10" t="str">
        <f t="shared" si="142"/>
        <v/>
      </c>
      <c r="AR105" s="4" t="str">
        <f t="shared" si="156"/>
        <v/>
      </c>
      <c r="AS105" s="4" t="str">
        <f t="shared" si="143"/>
        <v/>
      </c>
      <c r="AT105" s="4" t="str">
        <f t="shared" si="144"/>
        <v/>
      </c>
      <c r="AU105" s="4" t="str">
        <f t="shared" si="145"/>
        <v/>
      </c>
      <c r="AV105" s="4" t="str">
        <f t="shared" si="146"/>
        <v/>
      </c>
      <c r="AW105" s="4" t="str">
        <f t="shared" si="147"/>
        <v/>
      </c>
      <c r="AZ105" s="6" t="str">
        <f t="shared" si="115"/>
        <v/>
      </c>
      <c r="BA105" s="10" t="str">
        <f t="shared" si="116"/>
        <v/>
      </c>
      <c r="BB105" s="4" t="str">
        <f t="shared" si="157"/>
        <v/>
      </c>
      <c r="BC105" s="4" t="str">
        <f t="shared" si="148"/>
        <v/>
      </c>
      <c r="BD105" s="4" t="str">
        <f t="shared" si="149"/>
        <v/>
      </c>
      <c r="BE105" s="4" t="str">
        <f t="shared" si="150"/>
        <v/>
      </c>
      <c r="BF105" s="4" t="str">
        <f t="shared" si="151"/>
        <v/>
      </c>
      <c r="BG105" s="4" t="str">
        <f t="shared" si="152"/>
        <v/>
      </c>
      <c r="BH105" s="5"/>
      <c r="BI105" s="7" t="str">
        <f t="shared" si="60"/>
        <v/>
      </c>
      <c r="BJ105" s="7" t="str">
        <f t="shared" si="117"/>
        <v/>
      </c>
      <c r="BK105" s="7"/>
      <c r="BM105" s="6">
        <v>71</v>
      </c>
      <c r="BN105" s="5" t="str">
        <f t="shared" si="158"/>
        <v/>
      </c>
      <c r="BO105" s="5" t="str">
        <f t="shared" si="159"/>
        <v/>
      </c>
      <c r="BP105" s="5" t="str">
        <f t="shared" si="160"/>
        <v/>
      </c>
      <c r="BQ105" s="5">
        <f t="shared" si="161"/>
        <v>0</v>
      </c>
      <c r="BR105" s="5" t="str">
        <f t="shared" si="162"/>
        <v/>
      </c>
      <c r="CC105" s="6"/>
      <c r="CD105" s="54"/>
      <c r="CE105" s="55"/>
      <c r="CF105" s="55"/>
      <c r="CG105" s="55"/>
      <c r="CH105" s="55"/>
      <c r="CI105" s="55"/>
      <c r="CJ105" s="55"/>
      <c r="DB105" s="4"/>
    </row>
    <row r="106" spans="1:106" x14ac:dyDescent="0.3">
      <c r="A106" s="9">
        <v>71</v>
      </c>
      <c r="B106" s="6" t="str">
        <f t="shared" si="118"/>
        <v/>
      </c>
      <c r="C106" s="46" t="str">
        <f>IF(A106&lt;=$C$19,'Fechas de pago'!B90,"")</f>
        <v/>
      </c>
      <c r="D106" s="4" t="str">
        <f t="shared" si="119"/>
        <v/>
      </c>
      <c r="E106" s="4" t="str">
        <f t="shared" si="120"/>
        <v/>
      </c>
      <c r="F106" s="4" t="str">
        <f t="shared" si="121"/>
        <v/>
      </c>
      <c r="G106" s="4" t="str">
        <f t="shared" si="122"/>
        <v/>
      </c>
      <c r="H106" s="4" t="str">
        <f t="shared" si="123"/>
        <v/>
      </c>
      <c r="I106" s="4" t="str">
        <f t="shared" si="124"/>
        <v/>
      </c>
      <c r="K106" s="5"/>
      <c r="L106" s="6" t="str">
        <f t="shared" si="113"/>
        <v/>
      </c>
      <c r="M106" s="10" t="str">
        <f t="shared" si="125"/>
        <v/>
      </c>
      <c r="N106" s="4" t="str">
        <f t="shared" si="153"/>
        <v/>
      </c>
      <c r="O106" s="4" t="str">
        <f t="shared" si="126"/>
        <v/>
      </c>
      <c r="P106" s="4" t="str">
        <f t="shared" si="127"/>
        <v/>
      </c>
      <c r="Q106" s="4" t="str">
        <f t="shared" si="128"/>
        <v/>
      </c>
      <c r="R106" s="4" t="str">
        <f t="shared" si="129"/>
        <v/>
      </c>
      <c r="S106" s="4" t="str">
        <f t="shared" si="130"/>
        <v/>
      </c>
      <c r="T106" s="5"/>
      <c r="V106" s="6" t="str">
        <f t="shared" si="131"/>
        <v/>
      </c>
      <c r="W106" s="10" t="str">
        <f t="shared" si="154"/>
        <v/>
      </c>
      <c r="X106" s="4" t="str">
        <f t="shared" si="108"/>
        <v/>
      </c>
      <c r="Y106" s="4" t="str">
        <f t="shared" si="132"/>
        <v/>
      </c>
      <c r="Z106" s="4" t="str">
        <f t="shared" si="133"/>
        <v/>
      </c>
      <c r="AA106" s="4">
        <f t="shared" si="111"/>
        <v>0</v>
      </c>
      <c r="AB106" s="4" t="str">
        <f t="shared" si="134"/>
        <v/>
      </c>
      <c r="AC106" s="4" t="str">
        <f t="shared" si="135"/>
        <v/>
      </c>
      <c r="AD106" s="5"/>
      <c r="AF106" s="6" t="str">
        <f t="shared" si="136"/>
        <v/>
      </c>
      <c r="AG106" s="10" t="str">
        <f t="shared" si="155"/>
        <v/>
      </c>
      <c r="AH106" s="4" t="str">
        <f t="shared" si="112"/>
        <v/>
      </c>
      <c r="AI106" s="4" t="str">
        <f t="shared" si="137"/>
        <v/>
      </c>
      <c r="AJ106" s="4" t="str">
        <f t="shared" si="138"/>
        <v/>
      </c>
      <c r="AK106" s="4" t="str">
        <f t="shared" si="139"/>
        <v/>
      </c>
      <c r="AL106" s="4" t="str">
        <f t="shared" si="140"/>
        <v/>
      </c>
      <c r="AM106" s="4" t="str">
        <f t="shared" si="141"/>
        <v/>
      </c>
      <c r="AN106" s="5"/>
      <c r="AP106" s="6" t="str">
        <f t="shared" si="114"/>
        <v/>
      </c>
      <c r="AQ106" s="10" t="str">
        <f t="shared" si="142"/>
        <v/>
      </c>
      <c r="AR106" s="4" t="str">
        <f t="shared" si="156"/>
        <v/>
      </c>
      <c r="AS106" s="4" t="str">
        <f t="shared" si="143"/>
        <v/>
      </c>
      <c r="AT106" s="4" t="str">
        <f t="shared" si="144"/>
        <v/>
      </c>
      <c r="AU106" s="4" t="str">
        <f t="shared" si="145"/>
        <v/>
      </c>
      <c r="AV106" s="4" t="str">
        <f t="shared" si="146"/>
        <v/>
      </c>
      <c r="AW106" s="4" t="str">
        <f t="shared" si="147"/>
        <v/>
      </c>
      <c r="AZ106" s="6" t="str">
        <f t="shared" si="115"/>
        <v/>
      </c>
      <c r="BA106" s="10" t="str">
        <f t="shared" si="116"/>
        <v/>
      </c>
      <c r="BB106" s="4" t="str">
        <f t="shared" si="157"/>
        <v/>
      </c>
      <c r="BC106" s="4" t="str">
        <f t="shared" si="148"/>
        <v/>
      </c>
      <c r="BD106" s="4" t="str">
        <f t="shared" si="149"/>
        <v/>
      </c>
      <c r="BE106" s="4" t="str">
        <f t="shared" si="150"/>
        <v/>
      </c>
      <c r="BF106" s="4" t="str">
        <f t="shared" si="151"/>
        <v/>
      </c>
      <c r="BG106" s="4" t="str">
        <f t="shared" si="152"/>
        <v/>
      </c>
      <c r="BH106" s="5"/>
      <c r="BI106" s="7" t="str">
        <f t="shared" si="60"/>
        <v/>
      </c>
      <c r="BJ106" s="7" t="str">
        <f t="shared" si="117"/>
        <v/>
      </c>
      <c r="BK106" s="7"/>
      <c r="BM106" s="6">
        <v>72</v>
      </c>
      <c r="BN106" s="5" t="str">
        <f t="shared" si="158"/>
        <v/>
      </c>
      <c r="BO106" s="5" t="str">
        <f t="shared" si="159"/>
        <v/>
      </c>
      <c r="BP106" s="5" t="str">
        <f t="shared" si="160"/>
        <v/>
      </c>
      <c r="BQ106" s="5">
        <f t="shared" si="161"/>
        <v>0</v>
      </c>
      <c r="BR106" s="5" t="str">
        <f t="shared" si="162"/>
        <v/>
      </c>
      <c r="CC106" s="6"/>
      <c r="CD106" s="54"/>
      <c r="CE106" s="55"/>
      <c r="CF106" s="55"/>
      <c r="CG106" s="55"/>
      <c r="CH106" s="55"/>
      <c r="CI106" s="55"/>
      <c r="CJ106" s="55"/>
      <c r="DB106" s="4"/>
    </row>
    <row r="107" spans="1:106" x14ac:dyDescent="0.3">
      <c r="A107" s="9">
        <v>72</v>
      </c>
      <c r="B107" s="6" t="str">
        <f t="shared" si="118"/>
        <v/>
      </c>
      <c r="C107" s="46" t="str">
        <f>IF(A107&lt;=$C$19,'Fechas de pago'!B91,"")</f>
        <v/>
      </c>
      <c r="D107" s="4" t="str">
        <f t="shared" si="119"/>
        <v/>
      </c>
      <c r="E107" s="4" t="str">
        <f t="shared" si="120"/>
        <v/>
      </c>
      <c r="F107" s="4" t="str">
        <f t="shared" si="121"/>
        <v/>
      </c>
      <c r="G107" s="4" t="str">
        <f t="shared" si="122"/>
        <v/>
      </c>
      <c r="H107" s="4" t="str">
        <f t="shared" si="123"/>
        <v/>
      </c>
      <c r="I107" s="4" t="str">
        <f t="shared" si="124"/>
        <v/>
      </c>
      <c r="K107" s="5"/>
      <c r="L107" s="6" t="str">
        <f t="shared" si="113"/>
        <v/>
      </c>
      <c r="M107" s="10" t="str">
        <f t="shared" si="125"/>
        <v/>
      </c>
      <c r="N107" s="4" t="str">
        <f t="shared" si="153"/>
        <v/>
      </c>
      <c r="O107" s="4" t="str">
        <f t="shared" si="126"/>
        <v/>
      </c>
      <c r="P107" s="4" t="str">
        <f t="shared" si="127"/>
        <v/>
      </c>
      <c r="Q107" s="4" t="str">
        <f t="shared" si="128"/>
        <v/>
      </c>
      <c r="R107" s="4" t="str">
        <f t="shared" si="129"/>
        <v/>
      </c>
      <c r="S107" s="4" t="str">
        <f t="shared" si="130"/>
        <v/>
      </c>
      <c r="T107" s="5"/>
      <c r="V107" s="6" t="str">
        <f t="shared" si="131"/>
        <v/>
      </c>
      <c r="W107" s="10" t="str">
        <f t="shared" si="154"/>
        <v/>
      </c>
      <c r="X107" s="4" t="str">
        <f t="shared" si="108"/>
        <v/>
      </c>
      <c r="Y107" s="4" t="str">
        <f t="shared" si="132"/>
        <v/>
      </c>
      <c r="Z107" s="4" t="str">
        <f t="shared" si="133"/>
        <v/>
      </c>
      <c r="AA107" s="4">
        <f t="shared" si="111"/>
        <v>0</v>
      </c>
      <c r="AB107" s="4" t="str">
        <f t="shared" si="134"/>
        <v/>
      </c>
      <c r="AC107" s="4" t="str">
        <f t="shared" si="135"/>
        <v/>
      </c>
      <c r="AD107" s="5"/>
      <c r="AF107" s="6" t="str">
        <f t="shared" si="136"/>
        <v/>
      </c>
      <c r="AG107" s="10" t="str">
        <f t="shared" si="155"/>
        <v/>
      </c>
      <c r="AH107" s="4" t="str">
        <f t="shared" si="112"/>
        <v/>
      </c>
      <c r="AI107" s="4" t="str">
        <f t="shared" si="137"/>
        <v/>
      </c>
      <c r="AJ107" s="4" t="str">
        <f t="shared" si="138"/>
        <v/>
      </c>
      <c r="AK107" s="4" t="str">
        <f t="shared" si="139"/>
        <v/>
      </c>
      <c r="AL107" s="4" t="str">
        <f t="shared" si="140"/>
        <v/>
      </c>
      <c r="AM107" s="4" t="str">
        <f t="shared" si="141"/>
        <v/>
      </c>
      <c r="AN107" s="5"/>
      <c r="AP107" s="6" t="str">
        <f t="shared" si="114"/>
        <v/>
      </c>
      <c r="AQ107" s="10" t="str">
        <f t="shared" si="142"/>
        <v/>
      </c>
      <c r="AR107" s="4" t="str">
        <f t="shared" si="156"/>
        <v/>
      </c>
      <c r="AS107" s="4" t="str">
        <f t="shared" si="143"/>
        <v/>
      </c>
      <c r="AT107" s="4" t="str">
        <f t="shared" si="144"/>
        <v/>
      </c>
      <c r="AU107" s="4" t="str">
        <f t="shared" si="145"/>
        <v/>
      </c>
      <c r="AV107" s="4" t="str">
        <f t="shared" si="146"/>
        <v/>
      </c>
      <c r="AW107" s="4" t="str">
        <f t="shared" si="147"/>
        <v/>
      </c>
      <c r="AZ107" s="6" t="str">
        <f t="shared" si="115"/>
        <v/>
      </c>
      <c r="BA107" s="10" t="str">
        <f t="shared" si="116"/>
        <v/>
      </c>
      <c r="BB107" s="4" t="str">
        <f t="shared" si="157"/>
        <v/>
      </c>
      <c r="BC107" s="4" t="str">
        <f t="shared" si="148"/>
        <v/>
      </c>
      <c r="BD107" s="4" t="str">
        <f t="shared" si="149"/>
        <v/>
      </c>
      <c r="BE107" s="4" t="str">
        <f t="shared" si="150"/>
        <v/>
      </c>
      <c r="BF107" s="4" t="str">
        <f t="shared" si="151"/>
        <v/>
      </c>
      <c r="BG107" s="4" t="str">
        <f t="shared" si="152"/>
        <v/>
      </c>
      <c r="BH107" s="5"/>
      <c r="BI107" s="7" t="str">
        <f t="shared" si="60"/>
        <v/>
      </c>
      <c r="BJ107" s="7" t="str">
        <f t="shared" si="117"/>
        <v/>
      </c>
      <c r="BK107" s="7"/>
      <c r="BM107" s="6">
        <v>73</v>
      </c>
      <c r="BN107" s="5" t="str">
        <f t="shared" si="158"/>
        <v/>
      </c>
      <c r="BO107" s="5" t="str">
        <f t="shared" si="159"/>
        <v/>
      </c>
      <c r="BP107" s="5" t="str">
        <f t="shared" si="160"/>
        <v/>
      </c>
      <c r="BQ107" s="5">
        <f t="shared" si="161"/>
        <v>0</v>
      </c>
      <c r="BR107" s="5" t="str">
        <f t="shared" si="162"/>
        <v/>
      </c>
      <c r="CC107" s="6"/>
      <c r="CD107" s="54"/>
      <c r="CE107" s="55"/>
      <c r="CF107" s="55"/>
      <c r="CG107" s="55"/>
      <c r="CH107" s="55"/>
      <c r="CI107" s="55"/>
      <c r="CJ107" s="55"/>
      <c r="DB107" s="4"/>
    </row>
    <row r="108" spans="1:106" x14ac:dyDescent="0.3">
      <c r="C108" s="10"/>
      <c r="J108" s="5"/>
      <c r="BI108" s="5"/>
      <c r="BJ108" s="5"/>
      <c r="BK108" s="5"/>
      <c r="BM108" s="6"/>
      <c r="BN108" s="5"/>
      <c r="BO108" s="5"/>
      <c r="BP108" s="5"/>
      <c r="BQ108" s="5"/>
      <c r="BR108" s="5"/>
      <c r="CC108" s="6"/>
      <c r="CD108" s="54"/>
      <c r="CE108" s="55"/>
      <c r="CF108" s="55"/>
      <c r="CG108" s="55"/>
      <c r="CH108" s="55"/>
      <c r="CI108" s="55"/>
      <c r="CJ108" s="55"/>
      <c r="DB108" s="4"/>
    </row>
    <row r="111" spans="1:106" x14ac:dyDescent="0.3">
      <c r="F111" s="38"/>
      <c r="G111" s="5"/>
      <c r="H111" s="5"/>
      <c r="I111" s="5"/>
      <c r="P111" s="38">
        <f>SUM(P35:P107)</f>
        <v>28482.674579150415</v>
      </c>
    </row>
  </sheetData>
  <mergeCells count="24">
    <mergeCell ref="D20:E20"/>
    <mergeCell ref="D16:E16"/>
    <mergeCell ref="D15:E15"/>
    <mergeCell ref="BM33:BS33"/>
    <mergeCell ref="AZ32:AZ33"/>
    <mergeCell ref="AP32:AP33"/>
    <mergeCell ref="D21:E21"/>
    <mergeCell ref="D22:E22"/>
    <mergeCell ref="B1:B2"/>
    <mergeCell ref="B32:B33"/>
    <mergeCell ref="L32:L33"/>
    <mergeCell ref="V32:V33"/>
    <mergeCell ref="AF32:AF33"/>
    <mergeCell ref="F4:G4"/>
    <mergeCell ref="F5:G5"/>
    <mergeCell ref="F11:G11"/>
    <mergeCell ref="F10:G10"/>
    <mergeCell ref="F7:G7"/>
    <mergeCell ref="F8:G8"/>
    <mergeCell ref="F13:G13"/>
    <mergeCell ref="D17:E17"/>
    <mergeCell ref="D14:E14"/>
    <mergeCell ref="D13:E13"/>
    <mergeCell ref="D19:E19"/>
  </mergeCells>
  <dataValidations count="1">
    <dataValidation type="list" allowBlank="1" showInputMessage="1" showErrorMessage="1" sqref="C10" xr:uid="{00000000-0002-0000-0100-000004000000}">
      <formula1>INDIRECT($C$9)</formula1>
    </dataValidation>
  </dataValidations>
  <pageMargins left="0.7" right="0.7" top="0.75" bottom="0.75" header="0.3" footer="0.3"/>
  <pageSetup orientation="portrait" verticalDpi="597" r:id="rId1"/>
  <headerFooter>
    <oddHeader>&amp;L&amp;"Calibri"&amp;10&amp;K000000Confidential&amp;1#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Hoja2!$F$1:$F$6</xm:f>
          </x14:formula1>
          <xm:sqref>C19</xm:sqref>
        </x14:dataValidation>
        <x14:dataValidation type="list" allowBlank="1" showInputMessage="1" showErrorMessage="1" xr:uid="{00000000-0002-0000-0100-000001000000}">
          <x14:formula1>
            <xm:f>Hoja2!$A$6:$A$7</xm:f>
          </x14:formula1>
          <xm:sqref>C23</xm:sqref>
        </x14:dataValidation>
        <x14:dataValidation type="list" allowBlank="1" showInputMessage="1" showErrorMessage="1" xr:uid="{00000000-0002-0000-0100-000002000000}">
          <x14:formula1>
            <xm:f>Hoja3!$A$1:$A$2</xm:f>
          </x14:formula1>
          <xm:sqref>H18</xm:sqref>
        </x14:dataValidation>
        <x14:dataValidation type="list" allowBlank="1" showInputMessage="1" showErrorMessage="1" xr:uid="{00000000-0002-0000-0100-000003000000}">
          <x14:formula1>
            <xm:f>Hoja2!$A$10:$D$10</xm:f>
          </x14:formula1>
          <xm:sqref>C9</xm:sqref>
        </x14:dataValidation>
        <x14:dataValidation type="list" allowBlank="1" showInputMessage="1" showErrorMessage="1" xr:uid="{28287DD2-ABEF-4F81-8989-95E6CEE8093B}">
          <x14:formula1>
            <xm:f>Hoja2!$A$16:$C$16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U96"/>
  <sheetViews>
    <sheetView workbookViewId="0">
      <selection activeCell="B12" sqref="B12"/>
    </sheetView>
  </sheetViews>
  <sheetFormatPr baseColWidth="10" defaultColWidth="11.44140625" defaultRowHeight="14.4" x14ac:dyDescent="0.3"/>
  <cols>
    <col min="1" max="1" width="14.6640625" style="2" bestFit="1" customWidth="1"/>
    <col min="2" max="2" width="11.44140625" style="2"/>
    <col min="3" max="3" width="16.5546875" style="2" bestFit="1" customWidth="1"/>
    <col min="4" max="4" width="11.44140625" style="2"/>
    <col min="5" max="5" width="16.44140625" style="2" bestFit="1" customWidth="1"/>
    <col min="6" max="16384" width="11.44140625" style="2"/>
  </cols>
  <sheetData>
    <row r="1" spans="1:73" x14ac:dyDescent="0.3">
      <c r="A1" s="2" t="s">
        <v>0</v>
      </c>
      <c r="B1" s="39">
        <f>Cotizador!I1</f>
        <v>45295</v>
      </c>
      <c r="D1" s="17"/>
      <c r="E1" s="8"/>
    </row>
    <row r="2" spans="1:73" x14ac:dyDescent="0.3">
      <c r="E2" s="16"/>
      <c r="G2" s="16"/>
      <c r="I2" s="16"/>
    </row>
    <row r="3" spans="1:73" x14ac:dyDescent="0.3">
      <c r="A3" s="16"/>
      <c r="G3" s="16"/>
    </row>
    <row r="4" spans="1:73" x14ac:dyDescent="0.3">
      <c r="A4" s="16">
        <v>2</v>
      </c>
      <c r="B4" s="16">
        <v>3</v>
      </c>
      <c r="C4" s="16">
        <v>4</v>
      </c>
      <c r="D4" s="16">
        <v>5</v>
      </c>
      <c r="E4" s="16">
        <v>6</v>
      </c>
      <c r="F4" s="16">
        <v>7</v>
      </c>
      <c r="G4" s="16">
        <v>8</v>
      </c>
      <c r="H4" s="16">
        <v>9</v>
      </c>
      <c r="I4" s="16">
        <v>10</v>
      </c>
      <c r="J4" s="16">
        <v>11</v>
      </c>
      <c r="K4" s="16">
        <v>12</v>
      </c>
      <c r="L4" s="16">
        <v>13</v>
      </c>
      <c r="M4" s="16">
        <v>14</v>
      </c>
      <c r="N4" s="16">
        <v>15</v>
      </c>
      <c r="O4" s="16">
        <v>16</v>
      </c>
      <c r="P4" s="16">
        <v>17</v>
      </c>
      <c r="Q4" s="16">
        <v>18</v>
      </c>
      <c r="R4" s="16">
        <v>19</v>
      </c>
      <c r="S4" s="16">
        <v>20</v>
      </c>
      <c r="T4" s="16">
        <v>21</v>
      </c>
      <c r="U4" s="16">
        <v>22</v>
      </c>
      <c r="V4" s="16">
        <v>23</v>
      </c>
      <c r="W4" s="1">
        <v>24</v>
      </c>
      <c r="X4" s="16">
        <v>25</v>
      </c>
      <c r="Y4" s="16">
        <v>26</v>
      </c>
      <c r="Z4" s="16">
        <v>27</v>
      </c>
      <c r="AA4" s="16">
        <v>28</v>
      </c>
      <c r="AB4" s="16">
        <v>29</v>
      </c>
      <c r="AC4" s="16">
        <v>30</v>
      </c>
      <c r="AD4" s="16">
        <v>31</v>
      </c>
      <c r="AE4" s="16">
        <v>1</v>
      </c>
      <c r="AF4" s="16">
        <v>2</v>
      </c>
    </row>
    <row r="5" spans="1:73" x14ac:dyDescent="0.3">
      <c r="A5" s="16">
        <v>2</v>
      </c>
      <c r="B5" s="16">
        <v>17</v>
      </c>
      <c r="C5" s="16">
        <v>17</v>
      </c>
      <c r="D5" s="16">
        <v>17</v>
      </c>
      <c r="E5" s="16">
        <v>17</v>
      </c>
      <c r="F5" s="16">
        <v>17</v>
      </c>
      <c r="G5" s="16">
        <v>17</v>
      </c>
      <c r="H5" s="16">
        <v>17</v>
      </c>
      <c r="I5" s="16">
        <v>17</v>
      </c>
      <c r="J5" s="16">
        <v>17</v>
      </c>
      <c r="K5" s="16">
        <v>17</v>
      </c>
      <c r="L5" s="16">
        <v>17</v>
      </c>
      <c r="M5" s="16">
        <v>17</v>
      </c>
      <c r="N5" s="16">
        <v>17</v>
      </c>
      <c r="O5" s="16">
        <v>17</v>
      </c>
      <c r="P5" s="16">
        <v>17</v>
      </c>
      <c r="Q5" s="16">
        <v>2</v>
      </c>
      <c r="R5" s="16">
        <v>2</v>
      </c>
      <c r="S5" s="16">
        <v>2</v>
      </c>
      <c r="T5" s="16">
        <v>2</v>
      </c>
      <c r="U5" s="16">
        <v>2</v>
      </c>
      <c r="V5" s="16">
        <v>2</v>
      </c>
      <c r="W5" s="16">
        <v>2</v>
      </c>
      <c r="X5" s="16">
        <v>2</v>
      </c>
      <c r="Y5" s="16">
        <v>2</v>
      </c>
      <c r="Z5" s="16">
        <v>2</v>
      </c>
      <c r="AA5" s="16">
        <v>2</v>
      </c>
      <c r="AB5" s="16">
        <v>2</v>
      </c>
      <c r="AC5" s="16">
        <v>2</v>
      </c>
      <c r="AD5" s="16">
        <v>2</v>
      </c>
      <c r="AE5" s="16">
        <v>2</v>
      </c>
      <c r="AF5" s="16">
        <v>2</v>
      </c>
    </row>
    <row r="6" spans="1:73" x14ac:dyDescent="0.3">
      <c r="A6" s="16"/>
      <c r="G6" s="16"/>
    </row>
    <row r="7" spans="1:73" x14ac:dyDescent="0.3">
      <c r="A7" s="40" t="s">
        <v>1</v>
      </c>
      <c r="B7" s="16">
        <f>DAY(B1)</f>
        <v>4</v>
      </c>
      <c r="G7" s="16"/>
    </row>
    <row r="8" spans="1:73" x14ac:dyDescent="0.3">
      <c r="A8" s="40" t="s">
        <v>2</v>
      </c>
      <c r="B8" s="16">
        <f>MONTH(B1)</f>
        <v>1</v>
      </c>
      <c r="G8" s="16"/>
    </row>
    <row r="9" spans="1:73" x14ac:dyDescent="0.3">
      <c r="A9" s="40" t="s">
        <v>3</v>
      </c>
      <c r="B9" s="16">
        <f>YEAR(B1)</f>
        <v>2024</v>
      </c>
      <c r="G9" s="16"/>
    </row>
    <row r="10" spans="1:73" x14ac:dyDescent="0.3">
      <c r="G10" s="16"/>
    </row>
    <row r="11" spans="1:73" x14ac:dyDescent="0.3">
      <c r="A11" s="40" t="s">
        <v>4</v>
      </c>
      <c r="B11" s="16">
        <v>1</v>
      </c>
      <c r="C11" s="16">
        <v>2</v>
      </c>
      <c r="D11" s="16">
        <v>3</v>
      </c>
      <c r="E11" s="16">
        <v>4</v>
      </c>
      <c r="F11" s="16">
        <v>5</v>
      </c>
      <c r="G11" s="16">
        <v>6</v>
      </c>
      <c r="H11" s="16">
        <v>7</v>
      </c>
      <c r="I11" s="16">
        <v>8</v>
      </c>
      <c r="J11" s="16">
        <v>9</v>
      </c>
      <c r="K11" s="16">
        <v>10</v>
      </c>
      <c r="L11" s="16">
        <v>11</v>
      </c>
      <c r="M11" s="16">
        <v>12</v>
      </c>
      <c r="N11" s="16">
        <v>13</v>
      </c>
      <c r="O11" s="16">
        <v>14</v>
      </c>
      <c r="P11" s="16">
        <v>15</v>
      </c>
      <c r="Q11" s="16">
        <v>16</v>
      </c>
      <c r="R11" s="16">
        <v>17</v>
      </c>
      <c r="S11" s="16">
        <v>18</v>
      </c>
      <c r="T11" s="16">
        <v>19</v>
      </c>
      <c r="U11" s="16">
        <v>20</v>
      </c>
      <c r="V11" s="16">
        <v>21</v>
      </c>
      <c r="W11" s="16">
        <v>22</v>
      </c>
      <c r="X11" s="16">
        <v>23</v>
      </c>
      <c r="Y11" s="16">
        <v>24</v>
      </c>
      <c r="Z11" s="16">
        <v>25</v>
      </c>
      <c r="AA11" s="16">
        <v>26</v>
      </c>
      <c r="AB11" s="16">
        <v>27</v>
      </c>
      <c r="AC11" s="16">
        <v>28</v>
      </c>
      <c r="AD11" s="16">
        <v>29</v>
      </c>
      <c r="AE11" s="16">
        <v>30</v>
      </c>
      <c r="AF11" s="16">
        <v>31</v>
      </c>
      <c r="AG11" s="16">
        <v>32</v>
      </c>
      <c r="AH11" s="16">
        <v>33</v>
      </c>
      <c r="AI11" s="16">
        <v>34</v>
      </c>
      <c r="AJ11" s="16">
        <v>35</v>
      </c>
      <c r="AK11" s="16">
        <v>36</v>
      </c>
      <c r="AL11" s="16">
        <v>37</v>
      </c>
      <c r="AM11" s="16">
        <v>38</v>
      </c>
      <c r="AN11" s="16">
        <v>39</v>
      </c>
      <c r="AO11" s="16">
        <v>40</v>
      </c>
      <c r="AP11" s="16">
        <v>41</v>
      </c>
      <c r="AQ11" s="16">
        <v>42</v>
      </c>
      <c r="AR11" s="16">
        <v>43</v>
      </c>
      <c r="AS11" s="16">
        <v>44</v>
      </c>
      <c r="AT11" s="16">
        <v>45</v>
      </c>
      <c r="AU11" s="16">
        <v>46</v>
      </c>
      <c r="AV11" s="16">
        <v>47</v>
      </c>
      <c r="AW11" s="16">
        <v>48</v>
      </c>
      <c r="AX11" s="16">
        <v>49</v>
      </c>
      <c r="AY11" s="16">
        <v>50</v>
      </c>
      <c r="AZ11" s="16">
        <v>51</v>
      </c>
      <c r="BA11" s="16">
        <v>52</v>
      </c>
      <c r="BB11" s="16">
        <v>53</v>
      </c>
      <c r="BC11" s="16">
        <v>54</v>
      </c>
      <c r="BD11" s="16">
        <v>55</v>
      </c>
      <c r="BE11" s="16">
        <v>56</v>
      </c>
      <c r="BF11" s="16">
        <v>57</v>
      </c>
      <c r="BG11" s="16">
        <v>58</v>
      </c>
      <c r="BH11" s="16">
        <v>59</v>
      </c>
      <c r="BI11" s="16">
        <v>60</v>
      </c>
      <c r="BJ11" s="16">
        <v>61</v>
      </c>
      <c r="BK11" s="16">
        <v>62</v>
      </c>
      <c r="BL11" s="16">
        <v>63</v>
      </c>
      <c r="BM11" s="16">
        <v>64</v>
      </c>
      <c r="BN11" s="16">
        <v>65</v>
      </c>
      <c r="BO11" s="16">
        <v>66</v>
      </c>
      <c r="BP11" s="16">
        <v>67</v>
      </c>
      <c r="BQ11" s="16">
        <v>68</v>
      </c>
      <c r="BR11" s="16">
        <v>69</v>
      </c>
      <c r="BS11" s="16">
        <v>70</v>
      </c>
      <c r="BT11" s="16">
        <v>71</v>
      </c>
      <c r="BU11" s="16">
        <v>72</v>
      </c>
    </row>
    <row r="12" spans="1:73" x14ac:dyDescent="0.3">
      <c r="A12" s="16" t="s">
        <v>5</v>
      </c>
      <c r="B12" s="16">
        <f>HLOOKUP($B$7,$A$4:$AF$5,2,0)</f>
        <v>17</v>
      </c>
      <c r="C12" s="16">
        <f>B12</f>
        <v>17</v>
      </c>
      <c r="D12" s="16">
        <f t="shared" ref="D12:BO12" si="0">C12</f>
        <v>17</v>
      </c>
      <c r="E12" s="16">
        <f t="shared" si="0"/>
        <v>17</v>
      </c>
      <c r="F12" s="16">
        <f t="shared" si="0"/>
        <v>17</v>
      </c>
      <c r="G12" s="16">
        <f t="shared" si="0"/>
        <v>17</v>
      </c>
      <c r="H12" s="16">
        <f t="shared" si="0"/>
        <v>17</v>
      </c>
      <c r="I12" s="16">
        <f t="shared" si="0"/>
        <v>17</v>
      </c>
      <c r="J12" s="16">
        <f t="shared" si="0"/>
        <v>17</v>
      </c>
      <c r="K12" s="16">
        <f t="shared" si="0"/>
        <v>17</v>
      </c>
      <c r="L12" s="16">
        <f t="shared" si="0"/>
        <v>17</v>
      </c>
      <c r="M12" s="16">
        <f t="shared" si="0"/>
        <v>17</v>
      </c>
      <c r="N12" s="16">
        <f t="shared" si="0"/>
        <v>17</v>
      </c>
      <c r="O12" s="16">
        <f t="shared" si="0"/>
        <v>17</v>
      </c>
      <c r="P12" s="16">
        <f t="shared" si="0"/>
        <v>17</v>
      </c>
      <c r="Q12" s="16">
        <f t="shared" si="0"/>
        <v>17</v>
      </c>
      <c r="R12" s="16">
        <f t="shared" si="0"/>
        <v>17</v>
      </c>
      <c r="S12" s="16">
        <f t="shared" si="0"/>
        <v>17</v>
      </c>
      <c r="T12" s="16">
        <f t="shared" si="0"/>
        <v>17</v>
      </c>
      <c r="U12" s="16">
        <f t="shared" si="0"/>
        <v>17</v>
      </c>
      <c r="V12" s="16">
        <f t="shared" si="0"/>
        <v>17</v>
      </c>
      <c r="W12" s="16">
        <f t="shared" si="0"/>
        <v>17</v>
      </c>
      <c r="X12" s="16">
        <f t="shared" si="0"/>
        <v>17</v>
      </c>
      <c r="Y12" s="16">
        <f t="shared" si="0"/>
        <v>17</v>
      </c>
      <c r="Z12" s="16">
        <f t="shared" si="0"/>
        <v>17</v>
      </c>
      <c r="AA12" s="16">
        <f t="shared" si="0"/>
        <v>17</v>
      </c>
      <c r="AB12" s="16">
        <f t="shared" si="0"/>
        <v>17</v>
      </c>
      <c r="AC12" s="16">
        <f t="shared" si="0"/>
        <v>17</v>
      </c>
      <c r="AD12" s="16">
        <f t="shared" si="0"/>
        <v>17</v>
      </c>
      <c r="AE12" s="16">
        <f t="shared" si="0"/>
        <v>17</v>
      </c>
      <c r="AF12" s="16">
        <f t="shared" si="0"/>
        <v>17</v>
      </c>
      <c r="AG12" s="16">
        <f t="shared" si="0"/>
        <v>17</v>
      </c>
      <c r="AH12" s="16">
        <f t="shared" si="0"/>
        <v>17</v>
      </c>
      <c r="AI12" s="16">
        <f t="shared" si="0"/>
        <v>17</v>
      </c>
      <c r="AJ12" s="16">
        <f t="shared" si="0"/>
        <v>17</v>
      </c>
      <c r="AK12" s="16">
        <f t="shared" si="0"/>
        <v>17</v>
      </c>
      <c r="AL12" s="16">
        <f t="shared" si="0"/>
        <v>17</v>
      </c>
      <c r="AM12" s="16">
        <f t="shared" si="0"/>
        <v>17</v>
      </c>
      <c r="AN12" s="16">
        <f t="shared" si="0"/>
        <v>17</v>
      </c>
      <c r="AO12" s="16">
        <f t="shared" si="0"/>
        <v>17</v>
      </c>
      <c r="AP12" s="16">
        <f t="shared" si="0"/>
        <v>17</v>
      </c>
      <c r="AQ12" s="16">
        <f t="shared" si="0"/>
        <v>17</v>
      </c>
      <c r="AR12" s="16">
        <f t="shared" si="0"/>
        <v>17</v>
      </c>
      <c r="AS12" s="16">
        <f t="shared" si="0"/>
        <v>17</v>
      </c>
      <c r="AT12" s="16">
        <f t="shared" si="0"/>
        <v>17</v>
      </c>
      <c r="AU12" s="16">
        <f t="shared" si="0"/>
        <v>17</v>
      </c>
      <c r="AV12" s="16">
        <f t="shared" si="0"/>
        <v>17</v>
      </c>
      <c r="AW12" s="16">
        <f t="shared" si="0"/>
        <v>17</v>
      </c>
      <c r="AX12" s="16">
        <f t="shared" si="0"/>
        <v>17</v>
      </c>
      <c r="AY12" s="16">
        <f t="shared" si="0"/>
        <v>17</v>
      </c>
      <c r="AZ12" s="16">
        <f t="shared" si="0"/>
        <v>17</v>
      </c>
      <c r="BA12" s="16">
        <f t="shared" si="0"/>
        <v>17</v>
      </c>
      <c r="BB12" s="16">
        <f t="shared" si="0"/>
        <v>17</v>
      </c>
      <c r="BC12" s="16">
        <f t="shared" si="0"/>
        <v>17</v>
      </c>
      <c r="BD12" s="16">
        <f t="shared" si="0"/>
        <v>17</v>
      </c>
      <c r="BE12" s="16">
        <f t="shared" si="0"/>
        <v>17</v>
      </c>
      <c r="BF12" s="16">
        <f t="shared" si="0"/>
        <v>17</v>
      </c>
      <c r="BG12" s="16">
        <f t="shared" si="0"/>
        <v>17</v>
      </c>
      <c r="BH12" s="16">
        <f t="shared" si="0"/>
        <v>17</v>
      </c>
      <c r="BI12" s="16">
        <f t="shared" si="0"/>
        <v>17</v>
      </c>
      <c r="BJ12" s="16">
        <f t="shared" si="0"/>
        <v>17</v>
      </c>
      <c r="BK12" s="16">
        <f t="shared" si="0"/>
        <v>17</v>
      </c>
      <c r="BL12" s="16">
        <f t="shared" si="0"/>
        <v>17</v>
      </c>
      <c r="BM12" s="16">
        <f t="shared" si="0"/>
        <v>17</v>
      </c>
      <c r="BN12" s="16">
        <f t="shared" si="0"/>
        <v>17</v>
      </c>
      <c r="BO12" s="16">
        <f t="shared" si="0"/>
        <v>17</v>
      </c>
      <c r="BP12" s="16">
        <f t="shared" ref="BP12:BU12" si="1">BO12</f>
        <v>17</v>
      </c>
      <c r="BQ12" s="16">
        <f t="shared" si="1"/>
        <v>17</v>
      </c>
      <c r="BR12" s="16">
        <f t="shared" si="1"/>
        <v>17</v>
      </c>
      <c r="BS12" s="16">
        <f t="shared" si="1"/>
        <v>17</v>
      </c>
      <c r="BT12" s="16">
        <f t="shared" si="1"/>
        <v>17</v>
      </c>
      <c r="BU12" s="16">
        <f t="shared" si="1"/>
        <v>17</v>
      </c>
    </row>
    <row r="13" spans="1:73" x14ac:dyDescent="0.3">
      <c r="A13" s="40" t="s">
        <v>6</v>
      </c>
      <c r="B13" s="16">
        <f>IF(B7&lt;=17,B8+1,B8+2)</f>
        <v>2</v>
      </c>
      <c r="C13" s="16">
        <f>B13+1</f>
        <v>3</v>
      </c>
      <c r="D13" s="16">
        <f t="shared" ref="D13:BO13" si="2">C13+1</f>
        <v>4</v>
      </c>
      <c r="E13" s="16">
        <f t="shared" si="2"/>
        <v>5</v>
      </c>
      <c r="F13" s="16">
        <f t="shared" si="2"/>
        <v>6</v>
      </c>
      <c r="G13" s="16">
        <f t="shared" si="2"/>
        <v>7</v>
      </c>
      <c r="H13" s="16">
        <f t="shared" si="2"/>
        <v>8</v>
      </c>
      <c r="I13" s="16">
        <f t="shared" si="2"/>
        <v>9</v>
      </c>
      <c r="J13" s="16">
        <f t="shared" si="2"/>
        <v>10</v>
      </c>
      <c r="K13" s="16">
        <f t="shared" si="2"/>
        <v>11</v>
      </c>
      <c r="L13" s="16">
        <f t="shared" si="2"/>
        <v>12</v>
      </c>
      <c r="M13" s="16">
        <f t="shared" si="2"/>
        <v>13</v>
      </c>
      <c r="N13" s="16">
        <f t="shared" si="2"/>
        <v>14</v>
      </c>
      <c r="O13" s="16">
        <f t="shared" si="2"/>
        <v>15</v>
      </c>
      <c r="P13" s="16">
        <f t="shared" si="2"/>
        <v>16</v>
      </c>
      <c r="Q13" s="16">
        <f t="shared" si="2"/>
        <v>17</v>
      </c>
      <c r="R13" s="16">
        <f t="shared" si="2"/>
        <v>18</v>
      </c>
      <c r="S13" s="16">
        <f t="shared" si="2"/>
        <v>19</v>
      </c>
      <c r="T13" s="16">
        <f t="shared" si="2"/>
        <v>20</v>
      </c>
      <c r="U13" s="16">
        <f t="shared" si="2"/>
        <v>21</v>
      </c>
      <c r="V13" s="16">
        <f t="shared" si="2"/>
        <v>22</v>
      </c>
      <c r="W13" s="16">
        <f t="shared" si="2"/>
        <v>23</v>
      </c>
      <c r="X13" s="16">
        <f t="shared" si="2"/>
        <v>24</v>
      </c>
      <c r="Y13" s="16">
        <f t="shared" si="2"/>
        <v>25</v>
      </c>
      <c r="Z13" s="16">
        <f t="shared" si="2"/>
        <v>26</v>
      </c>
      <c r="AA13" s="16">
        <f t="shared" si="2"/>
        <v>27</v>
      </c>
      <c r="AB13" s="16">
        <f t="shared" si="2"/>
        <v>28</v>
      </c>
      <c r="AC13" s="16">
        <f t="shared" si="2"/>
        <v>29</v>
      </c>
      <c r="AD13" s="16">
        <f t="shared" si="2"/>
        <v>30</v>
      </c>
      <c r="AE13" s="16">
        <f t="shared" si="2"/>
        <v>31</v>
      </c>
      <c r="AF13" s="16">
        <f t="shared" si="2"/>
        <v>32</v>
      </c>
      <c r="AG13" s="16">
        <f t="shared" si="2"/>
        <v>33</v>
      </c>
      <c r="AH13" s="16">
        <f t="shared" si="2"/>
        <v>34</v>
      </c>
      <c r="AI13" s="16">
        <f t="shared" si="2"/>
        <v>35</v>
      </c>
      <c r="AJ13" s="16">
        <f t="shared" si="2"/>
        <v>36</v>
      </c>
      <c r="AK13" s="16">
        <f t="shared" si="2"/>
        <v>37</v>
      </c>
      <c r="AL13" s="16">
        <f t="shared" si="2"/>
        <v>38</v>
      </c>
      <c r="AM13" s="16">
        <f t="shared" si="2"/>
        <v>39</v>
      </c>
      <c r="AN13" s="16">
        <f t="shared" si="2"/>
        <v>40</v>
      </c>
      <c r="AO13" s="16">
        <f t="shared" si="2"/>
        <v>41</v>
      </c>
      <c r="AP13" s="16">
        <f t="shared" si="2"/>
        <v>42</v>
      </c>
      <c r="AQ13" s="16">
        <f t="shared" si="2"/>
        <v>43</v>
      </c>
      <c r="AR13" s="16">
        <f t="shared" si="2"/>
        <v>44</v>
      </c>
      <c r="AS13" s="16">
        <f t="shared" si="2"/>
        <v>45</v>
      </c>
      <c r="AT13" s="16">
        <f t="shared" si="2"/>
        <v>46</v>
      </c>
      <c r="AU13" s="16">
        <f t="shared" si="2"/>
        <v>47</v>
      </c>
      <c r="AV13" s="16">
        <f t="shared" si="2"/>
        <v>48</v>
      </c>
      <c r="AW13" s="16">
        <f t="shared" si="2"/>
        <v>49</v>
      </c>
      <c r="AX13" s="16">
        <f t="shared" si="2"/>
        <v>50</v>
      </c>
      <c r="AY13" s="16">
        <f t="shared" si="2"/>
        <v>51</v>
      </c>
      <c r="AZ13" s="16">
        <f t="shared" si="2"/>
        <v>52</v>
      </c>
      <c r="BA13" s="16">
        <f t="shared" si="2"/>
        <v>53</v>
      </c>
      <c r="BB13" s="16">
        <f t="shared" si="2"/>
        <v>54</v>
      </c>
      <c r="BC13" s="16">
        <f t="shared" si="2"/>
        <v>55</v>
      </c>
      <c r="BD13" s="16">
        <f t="shared" si="2"/>
        <v>56</v>
      </c>
      <c r="BE13" s="16">
        <f t="shared" si="2"/>
        <v>57</v>
      </c>
      <c r="BF13" s="16">
        <f t="shared" si="2"/>
        <v>58</v>
      </c>
      <c r="BG13" s="16">
        <f t="shared" si="2"/>
        <v>59</v>
      </c>
      <c r="BH13" s="16">
        <f t="shared" si="2"/>
        <v>60</v>
      </c>
      <c r="BI13" s="16">
        <f t="shared" si="2"/>
        <v>61</v>
      </c>
      <c r="BJ13" s="16">
        <f t="shared" si="2"/>
        <v>62</v>
      </c>
      <c r="BK13" s="16">
        <f t="shared" si="2"/>
        <v>63</v>
      </c>
      <c r="BL13" s="16">
        <f t="shared" si="2"/>
        <v>64</v>
      </c>
      <c r="BM13" s="16">
        <f t="shared" si="2"/>
        <v>65</v>
      </c>
      <c r="BN13" s="16">
        <f t="shared" si="2"/>
        <v>66</v>
      </c>
      <c r="BO13" s="16">
        <f t="shared" si="2"/>
        <v>67</v>
      </c>
      <c r="BP13" s="16">
        <f t="shared" ref="BP13:BU13" si="3">BO13+1</f>
        <v>68</v>
      </c>
      <c r="BQ13" s="16">
        <f t="shared" si="3"/>
        <v>69</v>
      </c>
      <c r="BR13" s="16">
        <f t="shared" si="3"/>
        <v>70</v>
      </c>
      <c r="BS13" s="16">
        <f t="shared" si="3"/>
        <v>71</v>
      </c>
      <c r="BT13" s="16">
        <f t="shared" si="3"/>
        <v>72</v>
      </c>
      <c r="BU13" s="16">
        <f t="shared" si="3"/>
        <v>73</v>
      </c>
    </row>
    <row r="14" spans="1:73" x14ac:dyDescent="0.3">
      <c r="A14" s="40" t="s">
        <v>7</v>
      </c>
      <c r="B14" s="16">
        <f>B9</f>
        <v>2024</v>
      </c>
      <c r="C14" s="16">
        <f>B14</f>
        <v>2024</v>
      </c>
      <c r="D14" s="16">
        <f t="shared" ref="D14:BO14" si="4">C14</f>
        <v>2024</v>
      </c>
      <c r="E14" s="16">
        <f t="shared" si="4"/>
        <v>2024</v>
      </c>
      <c r="F14" s="16">
        <f t="shared" si="4"/>
        <v>2024</v>
      </c>
      <c r="G14" s="16">
        <f t="shared" si="4"/>
        <v>2024</v>
      </c>
      <c r="H14" s="16">
        <f t="shared" si="4"/>
        <v>2024</v>
      </c>
      <c r="I14" s="16">
        <f t="shared" si="4"/>
        <v>2024</v>
      </c>
      <c r="J14" s="16">
        <f t="shared" si="4"/>
        <v>2024</v>
      </c>
      <c r="K14" s="16">
        <f t="shared" si="4"/>
        <v>2024</v>
      </c>
      <c r="L14" s="16">
        <f t="shared" si="4"/>
        <v>2024</v>
      </c>
      <c r="M14" s="16">
        <f t="shared" si="4"/>
        <v>2024</v>
      </c>
      <c r="N14" s="16">
        <f t="shared" si="4"/>
        <v>2024</v>
      </c>
      <c r="O14" s="16">
        <f t="shared" si="4"/>
        <v>2024</v>
      </c>
      <c r="P14" s="16">
        <f t="shared" si="4"/>
        <v>2024</v>
      </c>
      <c r="Q14" s="16">
        <f t="shared" si="4"/>
        <v>2024</v>
      </c>
      <c r="R14" s="16">
        <f t="shared" si="4"/>
        <v>2024</v>
      </c>
      <c r="S14" s="16">
        <f t="shared" si="4"/>
        <v>2024</v>
      </c>
      <c r="T14" s="16">
        <f t="shared" si="4"/>
        <v>2024</v>
      </c>
      <c r="U14" s="16">
        <f t="shared" si="4"/>
        <v>2024</v>
      </c>
      <c r="V14" s="16">
        <f t="shared" si="4"/>
        <v>2024</v>
      </c>
      <c r="W14" s="16">
        <f t="shared" si="4"/>
        <v>2024</v>
      </c>
      <c r="X14" s="16">
        <f t="shared" si="4"/>
        <v>2024</v>
      </c>
      <c r="Y14" s="16">
        <f t="shared" si="4"/>
        <v>2024</v>
      </c>
      <c r="Z14" s="16">
        <f t="shared" si="4"/>
        <v>2024</v>
      </c>
      <c r="AA14" s="16">
        <f t="shared" si="4"/>
        <v>2024</v>
      </c>
      <c r="AB14" s="16">
        <f t="shared" si="4"/>
        <v>2024</v>
      </c>
      <c r="AC14" s="16">
        <f t="shared" si="4"/>
        <v>2024</v>
      </c>
      <c r="AD14" s="16">
        <f t="shared" si="4"/>
        <v>2024</v>
      </c>
      <c r="AE14" s="16">
        <f t="shared" si="4"/>
        <v>2024</v>
      </c>
      <c r="AF14" s="16">
        <f t="shared" si="4"/>
        <v>2024</v>
      </c>
      <c r="AG14" s="16">
        <f t="shared" si="4"/>
        <v>2024</v>
      </c>
      <c r="AH14" s="16">
        <f t="shared" si="4"/>
        <v>2024</v>
      </c>
      <c r="AI14" s="16">
        <f t="shared" si="4"/>
        <v>2024</v>
      </c>
      <c r="AJ14" s="16">
        <f t="shared" si="4"/>
        <v>2024</v>
      </c>
      <c r="AK14" s="16">
        <f t="shared" si="4"/>
        <v>2024</v>
      </c>
      <c r="AL14" s="16">
        <f t="shared" si="4"/>
        <v>2024</v>
      </c>
      <c r="AM14" s="16">
        <f t="shared" si="4"/>
        <v>2024</v>
      </c>
      <c r="AN14" s="16">
        <f t="shared" si="4"/>
        <v>2024</v>
      </c>
      <c r="AO14" s="16">
        <f t="shared" si="4"/>
        <v>2024</v>
      </c>
      <c r="AP14" s="16">
        <f t="shared" si="4"/>
        <v>2024</v>
      </c>
      <c r="AQ14" s="16">
        <f t="shared" si="4"/>
        <v>2024</v>
      </c>
      <c r="AR14" s="16">
        <f t="shared" si="4"/>
        <v>2024</v>
      </c>
      <c r="AS14" s="16">
        <f t="shared" si="4"/>
        <v>2024</v>
      </c>
      <c r="AT14" s="16">
        <f t="shared" si="4"/>
        <v>2024</v>
      </c>
      <c r="AU14" s="16">
        <f t="shared" si="4"/>
        <v>2024</v>
      </c>
      <c r="AV14" s="16">
        <f t="shared" si="4"/>
        <v>2024</v>
      </c>
      <c r="AW14" s="16">
        <f t="shared" si="4"/>
        <v>2024</v>
      </c>
      <c r="AX14" s="16">
        <f t="shared" si="4"/>
        <v>2024</v>
      </c>
      <c r="AY14" s="16">
        <f t="shared" si="4"/>
        <v>2024</v>
      </c>
      <c r="AZ14" s="16">
        <f t="shared" si="4"/>
        <v>2024</v>
      </c>
      <c r="BA14" s="16">
        <f t="shared" si="4"/>
        <v>2024</v>
      </c>
      <c r="BB14" s="16">
        <f t="shared" si="4"/>
        <v>2024</v>
      </c>
      <c r="BC14" s="16">
        <f t="shared" si="4"/>
        <v>2024</v>
      </c>
      <c r="BD14" s="16">
        <f t="shared" si="4"/>
        <v>2024</v>
      </c>
      <c r="BE14" s="16">
        <f t="shared" si="4"/>
        <v>2024</v>
      </c>
      <c r="BF14" s="16">
        <f t="shared" si="4"/>
        <v>2024</v>
      </c>
      <c r="BG14" s="16">
        <f t="shared" si="4"/>
        <v>2024</v>
      </c>
      <c r="BH14" s="16">
        <f t="shared" si="4"/>
        <v>2024</v>
      </c>
      <c r="BI14" s="16">
        <f t="shared" si="4"/>
        <v>2024</v>
      </c>
      <c r="BJ14" s="16">
        <f t="shared" si="4"/>
        <v>2024</v>
      </c>
      <c r="BK14" s="16">
        <f t="shared" si="4"/>
        <v>2024</v>
      </c>
      <c r="BL14" s="16">
        <f t="shared" si="4"/>
        <v>2024</v>
      </c>
      <c r="BM14" s="16">
        <f t="shared" si="4"/>
        <v>2024</v>
      </c>
      <c r="BN14" s="16">
        <f t="shared" si="4"/>
        <v>2024</v>
      </c>
      <c r="BO14" s="16">
        <f t="shared" si="4"/>
        <v>2024</v>
      </c>
      <c r="BP14" s="16">
        <f t="shared" ref="BP14:BU14" si="5">BO14</f>
        <v>2024</v>
      </c>
      <c r="BQ14" s="16">
        <f t="shared" si="5"/>
        <v>2024</v>
      </c>
      <c r="BR14" s="16">
        <f t="shared" si="5"/>
        <v>2024</v>
      </c>
      <c r="BS14" s="16">
        <f t="shared" si="5"/>
        <v>2024</v>
      </c>
      <c r="BT14" s="16">
        <f t="shared" si="5"/>
        <v>2024</v>
      </c>
      <c r="BU14" s="16">
        <f t="shared" si="5"/>
        <v>2024</v>
      </c>
    </row>
    <row r="15" spans="1:73" x14ac:dyDescent="0.3">
      <c r="A15" s="16"/>
      <c r="G15" s="16"/>
    </row>
    <row r="16" spans="1:73" x14ac:dyDescent="0.3">
      <c r="A16" s="16">
        <v>0</v>
      </c>
      <c r="B16" s="16">
        <v>1</v>
      </c>
      <c r="C16" s="16">
        <v>2</v>
      </c>
      <c r="D16" s="16">
        <v>3</v>
      </c>
      <c r="E16" s="16">
        <v>4</v>
      </c>
      <c r="F16" s="16">
        <v>5</v>
      </c>
      <c r="G16" s="16">
        <v>6</v>
      </c>
      <c r="H16" s="16">
        <v>7</v>
      </c>
      <c r="I16" s="16">
        <v>8</v>
      </c>
      <c r="J16" s="16">
        <v>9</v>
      </c>
      <c r="K16" s="16">
        <v>10</v>
      </c>
      <c r="L16" s="16">
        <v>11</v>
      </c>
      <c r="M16" s="16">
        <v>12</v>
      </c>
      <c r="N16" s="16">
        <v>13</v>
      </c>
      <c r="O16" s="16">
        <v>14</v>
      </c>
      <c r="P16" s="16">
        <v>15</v>
      </c>
      <c r="Q16" s="16">
        <v>16</v>
      </c>
      <c r="R16" s="16">
        <v>17</v>
      </c>
      <c r="S16" s="16">
        <v>18</v>
      </c>
      <c r="T16" s="16">
        <v>19</v>
      </c>
      <c r="U16" s="16">
        <v>20</v>
      </c>
      <c r="V16" s="16">
        <v>21</v>
      </c>
      <c r="W16" s="16">
        <v>22</v>
      </c>
      <c r="X16" s="16">
        <v>23</v>
      </c>
      <c r="Y16" s="16">
        <v>24</v>
      </c>
      <c r="Z16" s="16">
        <v>25</v>
      </c>
      <c r="AA16" s="16">
        <v>26</v>
      </c>
      <c r="AB16" s="16">
        <v>27</v>
      </c>
      <c r="AC16" s="16">
        <v>28</v>
      </c>
      <c r="AD16" s="16">
        <v>29</v>
      </c>
      <c r="AE16" s="16">
        <v>30</v>
      </c>
      <c r="AF16" s="16">
        <v>31</v>
      </c>
      <c r="AG16" s="16">
        <v>32</v>
      </c>
      <c r="AH16" s="16">
        <v>33</v>
      </c>
      <c r="AI16" s="16">
        <v>34</v>
      </c>
      <c r="AJ16" s="16">
        <v>35</v>
      </c>
      <c r="AK16" s="16">
        <v>36</v>
      </c>
      <c r="AL16" s="16">
        <v>37</v>
      </c>
      <c r="AM16" s="16">
        <v>38</v>
      </c>
      <c r="AN16" s="16">
        <v>39</v>
      </c>
      <c r="AO16" s="16">
        <v>40</v>
      </c>
      <c r="AP16" s="16">
        <v>41</v>
      </c>
      <c r="AQ16" s="16">
        <v>42</v>
      </c>
      <c r="AR16" s="16">
        <v>43</v>
      </c>
      <c r="AS16" s="16">
        <v>44</v>
      </c>
      <c r="AT16" s="16">
        <v>45</v>
      </c>
      <c r="AU16" s="16">
        <v>46</v>
      </c>
      <c r="AV16" s="16">
        <v>47</v>
      </c>
      <c r="AW16" s="16">
        <v>48</v>
      </c>
      <c r="AX16" s="16">
        <v>49</v>
      </c>
      <c r="AY16" s="16">
        <v>50</v>
      </c>
      <c r="AZ16" s="16">
        <v>51</v>
      </c>
      <c r="BA16" s="16">
        <v>52</v>
      </c>
      <c r="BB16" s="16">
        <v>53</v>
      </c>
      <c r="BC16" s="16">
        <v>54</v>
      </c>
      <c r="BD16" s="16">
        <v>55</v>
      </c>
      <c r="BE16" s="16">
        <v>56</v>
      </c>
      <c r="BF16" s="16">
        <v>57</v>
      </c>
      <c r="BG16" s="16">
        <v>58</v>
      </c>
      <c r="BH16" s="16">
        <v>59</v>
      </c>
      <c r="BI16" s="16">
        <v>60</v>
      </c>
      <c r="BJ16" s="16">
        <v>61</v>
      </c>
      <c r="BK16" s="16">
        <v>62</v>
      </c>
      <c r="BL16" s="16">
        <v>63</v>
      </c>
      <c r="BM16" s="16">
        <v>64</v>
      </c>
      <c r="BN16" s="16">
        <v>65</v>
      </c>
      <c r="BO16" s="16">
        <v>66</v>
      </c>
      <c r="BP16" s="16">
        <v>67</v>
      </c>
      <c r="BQ16" s="16">
        <v>68</v>
      </c>
      <c r="BR16" s="16">
        <v>69</v>
      </c>
      <c r="BS16" s="16">
        <v>70</v>
      </c>
      <c r="BT16" s="16">
        <v>71</v>
      </c>
      <c r="BU16" s="16">
        <v>72</v>
      </c>
    </row>
    <row r="17" spans="1:73" x14ac:dyDescent="0.3">
      <c r="A17" s="41">
        <f>DATE(B14,B13-1,B12)</f>
        <v>45308</v>
      </c>
      <c r="B17" s="41">
        <f>DATE(B14,B13,B12)</f>
        <v>45339</v>
      </c>
      <c r="C17" s="41">
        <f t="shared" ref="C17:BN17" si="6">DATE(C14,C13,C12)</f>
        <v>45368</v>
      </c>
      <c r="D17" s="41">
        <f t="shared" si="6"/>
        <v>45399</v>
      </c>
      <c r="E17" s="41">
        <f t="shared" si="6"/>
        <v>45429</v>
      </c>
      <c r="F17" s="41">
        <f t="shared" si="6"/>
        <v>45460</v>
      </c>
      <c r="G17" s="41">
        <f t="shared" si="6"/>
        <v>45490</v>
      </c>
      <c r="H17" s="41">
        <f t="shared" si="6"/>
        <v>45521</v>
      </c>
      <c r="I17" s="41">
        <f t="shared" si="6"/>
        <v>45552</v>
      </c>
      <c r="J17" s="41">
        <f t="shared" si="6"/>
        <v>45582</v>
      </c>
      <c r="K17" s="41">
        <f t="shared" si="6"/>
        <v>45613</v>
      </c>
      <c r="L17" s="41">
        <f t="shared" si="6"/>
        <v>45643</v>
      </c>
      <c r="M17" s="41">
        <f t="shared" si="6"/>
        <v>45674</v>
      </c>
      <c r="N17" s="41">
        <f t="shared" si="6"/>
        <v>45705</v>
      </c>
      <c r="O17" s="41">
        <f t="shared" si="6"/>
        <v>45733</v>
      </c>
      <c r="P17" s="41">
        <f t="shared" si="6"/>
        <v>45764</v>
      </c>
      <c r="Q17" s="41">
        <f t="shared" si="6"/>
        <v>45794</v>
      </c>
      <c r="R17" s="41">
        <f t="shared" si="6"/>
        <v>45825</v>
      </c>
      <c r="S17" s="41">
        <f t="shared" si="6"/>
        <v>45855</v>
      </c>
      <c r="T17" s="41">
        <f t="shared" si="6"/>
        <v>45886</v>
      </c>
      <c r="U17" s="41">
        <f t="shared" si="6"/>
        <v>45917</v>
      </c>
      <c r="V17" s="41">
        <f t="shared" si="6"/>
        <v>45947</v>
      </c>
      <c r="W17" s="41">
        <f t="shared" si="6"/>
        <v>45978</v>
      </c>
      <c r="X17" s="41">
        <f t="shared" si="6"/>
        <v>46008</v>
      </c>
      <c r="Y17" s="41">
        <f t="shared" si="6"/>
        <v>46039</v>
      </c>
      <c r="Z17" s="41">
        <f t="shared" si="6"/>
        <v>46070</v>
      </c>
      <c r="AA17" s="41">
        <f t="shared" si="6"/>
        <v>46098</v>
      </c>
      <c r="AB17" s="41">
        <f t="shared" si="6"/>
        <v>46129</v>
      </c>
      <c r="AC17" s="41">
        <f t="shared" si="6"/>
        <v>46159</v>
      </c>
      <c r="AD17" s="41">
        <f t="shared" si="6"/>
        <v>46190</v>
      </c>
      <c r="AE17" s="41">
        <f t="shared" si="6"/>
        <v>46220</v>
      </c>
      <c r="AF17" s="41">
        <f t="shared" si="6"/>
        <v>46251</v>
      </c>
      <c r="AG17" s="41">
        <f t="shared" si="6"/>
        <v>46282</v>
      </c>
      <c r="AH17" s="41">
        <f t="shared" si="6"/>
        <v>46312</v>
      </c>
      <c r="AI17" s="41">
        <f t="shared" si="6"/>
        <v>46343</v>
      </c>
      <c r="AJ17" s="41">
        <f t="shared" si="6"/>
        <v>46373</v>
      </c>
      <c r="AK17" s="41">
        <f t="shared" si="6"/>
        <v>46404</v>
      </c>
      <c r="AL17" s="41">
        <f t="shared" si="6"/>
        <v>46435</v>
      </c>
      <c r="AM17" s="41">
        <f t="shared" si="6"/>
        <v>46463</v>
      </c>
      <c r="AN17" s="41">
        <f t="shared" si="6"/>
        <v>46494</v>
      </c>
      <c r="AO17" s="41">
        <f t="shared" si="6"/>
        <v>46524</v>
      </c>
      <c r="AP17" s="41">
        <f t="shared" si="6"/>
        <v>46555</v>
      </c>
      <c r="AQ17" s="41">
        <f t="shared" si="6"/>
        <v>46585</v>
      </c>
      <c r="AR17" s="41">
        <f t="shared" si="6"/>
        <v>46616</v>
      </c>
      <c r="AS17" s="41">
        <f t="shared" si="6"/>
        <v>46647</v>
      </c>
      <c r="AT17" s="41">
        <f t="shared" si="6"/>
        <v>46677</v>
      </c>
      <c r="AU17" s="41">
        <f t="shared" si="6"/>
        <v>46708</v>
      </c>
      <c r="AV17" s="41">
        <f t="shared" si="6"/>
        <v>46738</v>
      </c>
      <c r="AW17" s="41">
        <f t="shared" si="6"/>
        <v>46769</v>
      </c>
      <c r="AX17" s="41">
        <f t="shared" si="6"/>
        <v>46800</v>
      </c>
      <c r="AY17" s="41">
        <f t="shared" si="6"/>
        <v>46829</v>
      </c>
      <c r="AZ17" s="41">
        <f t="shared" si="6"/>
        <v>46860</v>
      </c>
      <c r="BA17" s="41">
        <f t="shared" si="6"/>
        <v>46890</v>
      </c>
      <c r="BB17" s="41">
        <f t="shared" si="6"/>
        <v>46921</v>
      </c>
      <c r="BC17" s="41">
        <f t="shared" si="6"/>
        <v>46951</v>
      </c>
      <c r="BD17" s="41">
        <f t="shared" si="6"/>
        <v>46982</v>
      </c>
      <c r="BE17" s="41">
        <f t="shared" si="6"/>
        <v>47013</v>
      </c>
      <c r="BF17" s="41">
        <f t="shared" si="6"/>
        <v>47043</v>
      </c>
      <c r="BG17" s="41">
        <f t="shared" si="6"/>
        <v>47074</v>
      </c>
      <c r="BH17" s="41">
        <f t="shared" si="6"/>
        <v>47104</v>
      </c>
      <c r="BI17" s="41">
        <f t="shared" si="6"/>
        <v>47135</v>
      </c>
      <c r="BJ17" s="41">
        <f t="shared" si="6"/>
        <v>47166</v>
      </c>
      <c r="BK17" s="41">
        <f t="shared" si="6"/>
        <v>47194</v>
      </c>
      <c r="BL17" s="41">
        <f t="shared" si="6"/>
        <v>47225</v>
      </c>
      <c r="BM17" s="41">
        <f t="shared" si="6"/>
        <v>47255</v>
      </c>
      <c r="BN17" s="41">
        <f t="shared" si="6"/>
        <v>47286</v>
      </c>
      <c r="BO17" s="41">
        <f t="shared" ref="BO17:BU17" si="7">DATE(BO14,BO13,BO12)</f>
        <v>47316</v>
      </c>
      <c r="BP17" s="41">
        <f t="shared" si="7"/>
        <v>47347</v>
      </c>
      <c r="BQ17" s="41">
        <f t="shared" si="7"/>
        <v>47378</v>
      </c>
      <c r="BR17" s="41">
        <f t="shared" si="7"/>
        <v>47408</v>
      </c>
      <c r="BS17" s="41">
        <f t="shared" si="7"/>
        <v>47439</v>
      </c>
      <c r="BT17" s="41">
        <f t="shared" si="7"/>
        <v>47469</v>
      </c>
      <c r="BU17" s="41">
        <f t="shared" si="7"/>
        <v>47500</v>
      </c>
    </row>
    <row r="18" spans="1:73" x14ac:dyDescent="0.3">
      <c r="A18" s="16"/>
      <c r="G18" s="16"/>
    </row>
    <row r="19" spans="1:73" x14ac:dyDescent="0.3">
      <c r="A19" s="16"/>
      <c r="C19" s="16"/>
      <c r="G19" s="16"/>
    </row>
    <row r="20" spans="1:73" x14ac:dyDescent="0.3">
      <c r="A20" s="16">
        <v>1</v>
      </c>
      <c r="B20" s="39">
        <f>B17</f>
        <v>45339</v>
      </c>
      <c r="C20" s="41"/>
      <c r="D20" s="16"/>
      <c r="G20" s="16"/>
    </row>
    <row r="21" spans="1:73" x14ac:dyDescent="0.3">
      <c r="A21" s="16">
        <v>2</v>
      </c>
      <c r="B21" s="39">
        <f>C17</f>
        <v>45368</v>
      </c>
      <c r="C21" s="41"/>
      <c r="D21" s="16"/>
      <c r="G21" s="16"/>
    </row>
    <row r="22" spans="1:73" x14ac:dyDescent="0.3">
      <c r="A22" s="16">
        <v>3</v>
      </c>
      <c r="B22" s="39">
        <f>D17</f>
        <v>45399</v>
      </c>
      <c r="C22" s="41"/>
      <c r="D22" s="16"/>
      <c r="G22" s="16"/>
    </row>
    <row r="23" spans="1:73" x14ac:dyDescent="0.3">
      <c r="A23" s="16">
        <v>4</v>
      </c>
      <c r="B23" s="39">
        <f>E17</f>
        <v>45429</v>
      </c>
      <c r="C23" s="41"/>
      <c r="D23" s="16"/>
      <c r="E23" s="16">
        <v>1</v>
      </c>
      <c r="F23" s="2" t="s">
        <v>8</v>
      </c>
      <c r="G23" s="16">
        <v>31</v>
      </c>
    </row>
    <row r="24" spans="1:73" x14ac:dyDescent="0.3">
      <c r="A24" s="16">
        <v>5</v>
      </c>
      <c r="B24" s="39">
        <f>F17</f>
        <v>45460</v>
      </c>
      <c r="C24" s="41"/>
      <c r="D24" s="16"/>
      <c r="E24" s="16">
        <v>2</v>
      </c>
      <c r="F24" s="2" t="s">
        <v>9</v>
      </c>
      <c r="G24" s="16">
        <v>28</v>
      </c>
    </row>
    <row r="25" spans="1:73" x14ac:dyDescent="0.3">
      <c r="A25" s="16">
        <v>6</v>
      </c>
      <c r="B25" s="39">
        <f>G17</f>
        <v>45490</v>
      </c>
      <c r="C25" s="41"/>
      <c r="D25" s="16"/>
      <c r="E25" s="16">
        <v>3</v>
      </c>
      <c r="F25" s="2" t="s">
        <v>10</v>
      </c>
      <c r="G25" s="16">
        <v>31</v>
      </c>
    </row>
    <row r="26" spans="1:73" x14ac:dyDescent="0.3">
      <c r="A26" s="16">
        <v>7</v>
      </c>
      <c r="B26" s="39">
        <f>H17</f>
        <v>45521</v>
      </c>
      <c r="C26" s="41"/>
      <c r="D26" s="16"/>
      <c r="E26" s="16">
        <v>4</v>
      </c>
      <c r="F26" s="2" t="s">
        <v>11</v>
      </c>
      <c r="G26" s="16">
        <v>30</v>
      </c>
    </row>
    <row r="27" spans="1:73" x14ac:dyDescent="0.3">
      <c r="A27" s="16">
        <v>8</v>
      </c>
      <c r="B27" s="39">
        <f>I17</f>
        <v>45552</v>
      </c>
      <c r="C27" s="41"/>
      <c r="D27" s="16"/>
      <c r="E27" s="16">
        <v>5</v>
      </c>
      <c r="F27" s="2" t="s">
        <v>12</v>
      </c>
      <c r="G27" s="16">
        <v>31</v>
      </c>
    </row>
    <row r="28" spans="1:73" x14ac:dyDescent="0.3">
      <c r="A28" s="16">
        <v>9</v>
      </c>
      <c r="B28" s="39">
        <f>J17</f>
        <v>45582</v>
      </c>
      <c r="C28" s="41"/>
      <c r="D28" s="16"/>
      <c r="E28" s="16">
        <v>6</v>
      </c>
      <c r="F28" s="2" t="s">
        <v>13</v>
      </c>
      <c r="G28" s="16">
        <v>30</v>
      </c>
    </row>
    <row r="29" spans="1:73" x14ac:dyDescent="0.3">
      <c r="A29" s="16">
        <v>10</v>
      </c>
      <c r="B29" s="39">
        <f>K17</f>
        <v>45613</v>
      </c>
      <c r="C29" s="41"/>
      <c r="D29" s="16"/>
      <c r="E29" s="16">
        <v>7</v>
      </c>
      <c r="F29" s="2" t="s">
        <v>14</v>
      </c>
      <c r="G29" s="16">
        <v>31</v>
      </c>
    </row>
    <row r="30" spans="1:73" x14ac:dyDescent="0.3">
      <c r="A30" s="16">
        <v>11</v>
      </c>
      <c r="B30" s="39">
        <f>L17</f>
        <v>45643</v>
      </c>
      <c r="C30" s="41"/>
      <c r="D30" s="16"/>
      <c r="E30" s="16">
        <v>8</v>
      </c>
      <c r="F30" s="2" t="s">
        <v>15</v>
      </c>
      <c r="G30" s="16">
        <v>31</v>
      </c>
    </row>
    <row r="31" spans="1:73" x14ac:dyDescent="0.3">
      <c r="A31" s="16">
        <v>12</v>
      </c>
      <c r="B31" s="39">
        <f>M17</f>
        <v>45674</v>
      </c>
      <c r="C31" s="41"/>
      <c r="D31" s="16"/>
      <c r="E31" s="16">
        <v>9</v>
      </c>
      <c r="F31" s="2" t="s">
        <v>16</v>
      </c>
      <c r="G31" s="16">
        <v>30</v>
      </c>
    </row>
    <row r="32" spans="1:73" x14ac:dyDescent="0.3">
      <c r="A32" s="16">
        <v>13</v>
      </c>
      <c r="B32" s="39">
        <f>N17</f>
        <v>45705</v>
      </c>
      <c r="C32" s="41"/>
      <c r="D32" s="16"/>
      <c r="E32" s="16">
        <v>10</v>
      </c>
      <c r="F32" s="2" t="s">
        <v>17</v>
      </c>
      <c r="G32" s="16">
        <v>31</v>
      </c>
    </row>
    <row r="33" spans="1:7" x14ac:dyDescent="0.3">
      <c r="A33" s="16">
        <v>14</v>
      </c>
      <c r="B33" s="39">
        <f>O17</f>
        <v>45733</v>
      </c>
      <c r="C33" s="41"/>
      <c r="D33" s="16"/>
      <c r="E33" s="16">
        <v>11</v>
      </c>
      <c r="F33" s="2" t="s">
        <v>18</v>
      </c>
      <c r="G33" s="16">
        <v>30</v>
      </c>
    </row>
    <row r="34" spans="1:7" x14ac:dyDescent="0.3">
      <c r="A34" s="16">
        <v>15</v>
      </c>
      <c r="B34" s="39">
        <f>P17</f>
        <v>45764</v>
      </c>
      <c r="C34" s="41"/>
      <c r="D34" s="16"/>
      <c r="E34" s="16">
        <v>12</v>
      </c>
      <c r="F34" s="2" t="s">
        <v>19</v>
      </c>
      <c r="G34" s="16">
        <v>31</v>
      </c>
    </row>
    <row r="35" spans="1:7" x14ac:dyDescent="0.3">
      <c r="A35" s="16">
        <v>16</v>
      </c>
      <c r="B35" s="39">
        <f>Q17</f>
        <v>45794</v>
      </c>
      <c r="C35" s="41"/>
      <c r="D35" s="16"/>
      <c r="G35" s="16"/>
    </row>
    <row r="36" spans="1:7" x14ac:dyDescent="0.3">
      <c r="A36" s="16">
        <v>17</v>
      </c>
      <c r="B36" s="39">
        <f>R17</f>
        <v>45825</v>
      </c>
      <c r="C36" s="41"/>
      <c r="D36" s="16"/>
      <c r="G36" s="16"/>
    </row>
    <row r="37" spans="1:7" x14ac:dyDescent="0.3">
      <c r="A37" s="16">
        <v>18</v>
      </c>
      <c r="B37" s="39">
        <f>S17</f>
        <v>45855</v>
      </c>
      <c r="C37" s="41"/>
      <c r="D37" s="16"/>
      <c r="G37" s="16"/>
    </row>
    <row r="38" spans="1:7" x14ac:dyDescent="0.3">
      <c r="A38" s="16">
        <v>19</v>
      </c>
      <c r="B38" s="39">
        <f>T17</f>
        <v>45886</v>
      </c>
      <c r="C38" s="41"/>
      <c r="D38" s="16"/>
      <c r="G38" s="16"/>
    </row>
    <row r="39" spans="1:7" x14ac:dyDescent="0.3">
      <c r="A39" s="16">
        <v>20</v>
      </c>
      <c r="B39" s="39">
        <f>U17</f>
        <v>45917</v>
      </c>
      <c r="C39" s="41"/>
      <c r="D39" s="16"/>
      <c r="G39" s="16"/>
    </row>
    <row r="40" spans="1:7" x14ac:dyDescent="0.3">
      <c r="A40" s="16">
        <v>21</v>
      </c>
      <c r="B40" s="39">
        <f>V17</f>
        <v>45947</v>
      </c>
      <c r="C40" s="41"/>
      <c r="D40" s="16"/>
      <c r="G40" s="16"/>
    </row>
    <row r="41" spans="1:7" x14ac:dyDescent="0.3">
      <c r="A41" s="16">
        <v>22</v>
      </c>
      <c r="B41" s="39">
        <f>W17</f>
        <v>45978</v>
      </c>
      <c r="C41" s="41"/>
      <c r="D41" s="16"/>
      <c r="G41" s="16"/>
    </row>
    <row r="42" spans="1:7" x14ac:dyDescent="0.3">
      <c r="A42" s="16">
        <v>23</v>
      </c>
      <c r="B42" s="39">
        <f>X17</f>
        <v>46008</v>
      </c>
      <c r="C42" s="41"/>
      <c r="D42" s="16"/>
      <c r="G42" s="16"/>
    </row>
    <row r="43" spans="1:7" x14ac:dyDescent="0.3">
      <c r="A43" s="16">
        <v>24</v>
      </c>
      <c r="B43" s="39">
        <f>Y17</f>
        <v>46039</v>
      </c>
      <c r="C43" s="41"/>
      <c r="D43" s="16"/>
      <c r="G43" s="16"/>
    </row>
    <row r="44" spans="1:7" x14ac:dyDescent="0.3">
      <c r="A44" s="16">
        <v>25</v>
      </c>
      <c r="B44" s="39">
        <f>Z17</f>
        <v>46070</v>
      </c>
      <c r="C44" s="41"/>
      <c r="D44" s="16"/>
      <c r="G44" s="16"/>
    </row>
    <row r="45" spans="1:7" x14ac:dyDescent="0.3">
      <c r="A45" s="16">
        <v>26</v>
      </c>
      <c r="B45" s="39">
        <f>AA17</f>
        <v>46098</v>
      </c>
      <c r="C45" s="41"/>
      <c r="D45" s="16"/>
      <c r="G45" s="16"/>
    </row>
    <row r="46" spans="1:7" x14ac:dyDescent="0.3">
      <c r="A46" s="16">
        <v>27</v>
      </c>
      <c r="B46" s="39">
        <f>AB17</f>
        <v>46129</v>
      </c>
      <c r="C46" s="41"/>
      <c r="D46" s="16"/>
      <c r="G46" s="16"/>
    </row>
    <row r="47" spans="1:7" x14ac:dyDescent="0.3">
      <c r="A47" s="16">
        <v>28</v>
      </c>
      <c r="B47" s="39">
        <f>AC17</f>
        <v>46159</v>
      </c>
      <c r="C47" s="41"/>
      <c r="D47" s="16"/>
      <c r="G47" s="16"/>
    </row>
    <row r="48" spans="1:7" x14ac:dyDescent="0.3">
      <c r="A48" s="16">
        <v>29</v>
      </c>
      <c r="B48" s="39">
        <f>AD17</f>
        <v>46190</v>
      </c>
      <c r="C48" s="41"/>
      <c r="D48" s="16"/>
      <c r="G48" s="16"/>
    </row>
    <row r="49" spans="1:7" x14ac:dyDescent="0.3">
      <c r="A49" s="16">
        <v>30</v>
      </c>
      <c r="B49" s="39">
        <f>AE17</f>
        <v>46220</v>
      </c>
      <c r="C49" s="41"/>
      <c r="D49" s="16"/>
      <c r="G49" s="16"/>
    </row>
    <row r="50" spans="1:7" x14ac:dyDescent="0.3">
      <c r="A50" s="16">
        <v>31</v>
      </c>
      <c r="B50" s="39">
        <f>AF17</f>
        <v>46251</v>
      </c>
      <c r="C50" s="41"/>
      <c r="D50" s="16"/>
      <c r="G50" s="16"/>
    </row>
    <row r="51" spans="1:7" x14ac:dyDescent="0.3">
      <c r="A51" s="16">
        <v>32</v>
      </c>
      <c r="B51" s="39">
        <f>AG17</f>
        <v>46282</v>
      </c>
      <c r="C51" s="41"/>
      <c r="D51" s="16"/>
      <c r="G51" s="16"/>
    </row>
    <row r="52" spans="1:7" x14ac:dyDescent="0.3">
      <c r="A52" s="16">
        <v>33</v>
      </c>
      <c r="B52" s="39">
        <f>AH17</f>
        <v>46312</v>
      </c>
      <c r="C52" s="41"/>
      <c r="D52" s="16"/>
      <c r="G52" s="16"/>
    </row>
    <row r="53" spans="1:7" x14ac:dyDescent="0.3">
      <c r="A53" s="16">
        <v>34</v>
      </c>
      <c r="B53" s="39">
        <f>AI17</f>
        <v>46343</v>
      </c>
      <c r="C53" s="41"/>
      <c r="D53" s="16"/>
      <c r="G53" s="16"/>
    </row>
    <row r="54" spans="1:7" x14ac:dyDescent="0.3">
      <c r="A54" s="16">
        <v>35</v>
      </c>
      <c r="B54" s="39">
        <f>AJ17</f>
        <v>46373</v>
      </c>
      <c r="C54" s="41"/>
      <c r="D54" s="16"/>
      <c r="G54" s="16"/>
    </row>
    <row r="55" spans="1:7" x14ac:dyDescent="0.3">
      <c r="A55" s="16">
        <v>36</v>
      </c>
      <c r="B55" s="39">
        <f>AK17</f>
        <v>46404</v>
      </c>
      <c r="C55" s="41"/>
      <c r="D55" s="16"/>
      <c r="G55" s="16"/>
    </row>
    <row r="56" spans="1:7" x14ac:dyDescent="0.3">
      <c r="A56" s="16">
        <v>37</v>
      </c>
      <c r="B56" s="39">
        <f>AL17</f>
        <v>46435</v>
      </c>
      <c r="C56" s="41"/>
      <c r="D56" s="16"/>
      <c r="G56" s="16"/>
    </row>
    <row r="57" spans="1:7" x14ac:dyDescent="0.3">
      <c r="A57" s="16">
        <v>38</v>
      </c>
      <c r="B57" s="39">
        <f>AM17</f>
        <v>46463</v>
      </c>
      <c r="C57" s="41"/>
      <c r="D57" s="16"/>
      <c r="G57" s="16"/>
    </row>
    <row r="58" spans="1:7" x14ac:dyDescent="0.3">
      <c r="A58" s="16">
        <v>39</v>
      </c>
      <c r="B58" s="39">
        <f>AN17</f>
        <v>46494</v>
      </c>
      <c r="C58" s="41"/>
      <c r="D58" s="16"/>
      <c r="G58" s="16"/>
    </row>
    <row r="59" spans="1:7" x14ac:dyDescent="0.3">
      <c r="A59" s="16">
        <v>40</v>
      </c>
      <c r="B59" s="39">
        <f>AO17</f>
        <v>46524</v>
      </c>
      <c r="C59" s="41"/>
      <c r="D59" s="16"/>
      <c r="G59" s="16"/>
    </row>
    <row r="60" spans="1:7" x14ac:dyDescent="0.3">
      <c r="A60" s="16">
        <v>41</v>
      </c>
      <c r="B60" s="39">
        <f>AP17</f>
        <v>46555</v>
      </c>
      <c r="C60" s="41"/>
      <c r="D60" s="16"/>
      <c r="G60" s="16"/>
    </row>
    <row r="61" spans="1:7" x14ac:dyDescent="0.3">
      <c r="A61" s="16">
        <v>42</v>
      </c>
      <c r="B61" s="39">
        <f>AQ17</f>
        <v>46585</v>
      </c>
      <c r="C61" s="41"/>
      <c r="D61" s="16"/>
      <c r="G61" s="16"/>
    </row>
    <row r="62" spans="1:7" x14ac:dyDescent="0.3">
      <c r="A62" s="16">
        <v>43</v>
      </c>
      <c r="B62" s="39">
        <f>AR17</f>
        <v>46616</v>
      </c>
      <c r="C62" s="41"/>
      <c r="D62" s="16"/>
      <c r="G62" s="16"/>
    </row>
    <row r="63" spans="1:7" x14ac:dyDescent="0.3">
      <c r="A63" s="16">
        <v>44</v>
      </c>
      <c r="B63" s="39">
        <f>AS17</f>
        <v>46647</v>
      </c>
      <c r="C63" s="41"/>
      <c r="D63" s="16"/>
      <c r="G63" s="16"/>
    </row>
    <row r="64" spans="1:7" x14ac:dyDescent="0.3">
      <c r="A64" s="16">
        <v>45</v>
      </c>
      <c r="B64" s="39">
        <f>AT17</f>
        <v>46677</v>
      </c>
      <c r="C64" s="41"/>
      <c r="D64" s="16"/>
      <c r="G64" s="16"/>
    </row>
    <row r="65" spans="1:7" x14ac:dyDescent="0.3">
      <c r="A65" s="16">
        <v>46</v>
      </c>
      <c r="B65" s="39">
        <f>AU17</f>
        <v>46708</v>
      </c>
      <c r="C65" s="41"/>
      <c r="D65" s="16"/>
      <c r="G65" s="16"/>
    </row>
    <row r="66" spans="1:7" x14ac:dyDescent="0.3">
      <c r="A66" s="16">
        <v>47</v>
      </c>
      <c r="B66" s="39">
        <f>AV17</f>
        <v>46738</v>
      </c>
      <c r="C66" s="41"/>
      <c r="D66" s="16"/>
      <c r="G66" s="16"/>
    </row>
    <row r="67" spans="1:7" x14ac:dyDescent="0.3">
      <c r="A67" s="16">
        <v>48</v>
      </c>
      <c r="B67" s="39">
        <f>AW17</f>
        <v>46769</v>
      </c>
      <c r="C67" s="41"/>
      <c r="D67" s="16"/>
      <c r="G67" s="16"/>
    </row>
    <row r="68" spans="1:7" x14ac:dyDescent="0.3">
      <c r="A68" s="16">
        <v>49</v>
      </c>
      <c r="B68" s="39">
        <f>AX17</f>
        <v>46800</v>
      </c>
      <c r="C68" s="41"/>
      <c r="D68" s="16"/>
      <c r="G68" s="16"/>
    </row>
    <row r="69" spans="1:7" x14ac:dyDescent="0.3">
      <c r="A69" s="16">
        <v>50</v>
      </c>
      <c r="B69" s="39">
        <f>AY17</f>
        <v>46829</v>
      </c>
      <c r="C69" s="41"/>
      <c r="D69" s="16"/>
      <c r="G69" s="16"/>
    </row>
    <row r="70" spans="1:7" x14ac:dyDescent="0.3">
      <c r="A70" s="16">
        <v>51</v>
      </c>
      <c r="B70" s="39">
        <f>AZ17</f>
        <v>46860</v>
      </c>
      <c r="C70" s="41"/>
      <c r="D70" s="16"/>
      <c r="G70" s="16"/>
    </row>
    <row r="71" spans="1:7" x14ac:dyDescent="0.3">
      <c r="A71" s="16">
        <v>52</v>
      </c>
      <c r="B71" s="39">
        <f>BA17</f>
        <v>46890</v>
      </c>
      <c r="C71" s="41"/>
      <c r="D71" s="16"/>
      <c r="G71" s="16"/>
    </row>
    <row r="72" spans="1:7" x14ac:dyDescent="0.3">
      <c r="A72" s="16">
        <v>53</v>
      </c>
      <c r="B72" s="39">
        <f>BB17</f>
        <v>46921</v>
      </c>
      <c r="C72" s="41"/>
      <c r="D72" s="16"/>
      <c r="G72" s="16"/>
    </row>
    <row r="73" spans="1:7" x14ac:dyDescent="0.3">
      <c r="A73" s="16">
        <v>54</v>
      </c>
      <c r="B73" s="39">
        <f>BC17</f>
        <v>46951</v>
      </c>
      <c r="C73" s="41"/>
      <c r="D73" s="16"/>
      <c r="G73" s="16"/>
    </row>
    <row r="74" spans="1:7" x14ac:dyDescent="0.3">
      <c r="A74" s="16">
        <v>55</v>
      </c>
      <c r="B74" s="39">
        <f>BD17</f>
        <v>46982</v>
      </c>
      <c r="C74" s="41"/>
      <c r="D74" s="16"/>
      <c r="G74" s="16"/>
    </row>
    <row r="75" spans="1:7" x14ac:dyDescent="0.3">
      <c r="A75" s="16">
        <v>56</v>
      </c>
      <c r="B75" s="39">
        <f>BE17</f>
        <v>47013</v>
      </c>
      <c r="C75" s="41"/>
      <c r="D75" s="16"/>
      <c r="G75" s="16"/>
    </row>
    <row r="76" spans="1:7" x14ac:dyDescent="0.3">
      <c r="A76" s="16">
        <v>57</v>
      </c>
      <c r="B76" s="39">
        <f>BF17</f>
        <v>47043</v>
      </c>
      <c r="C76" s="41"/>
      <c r="D76" s="16"/>
      <c r="G76" s="16"/>
    </row>
    <row r="77" spans="1:7" x14ac:dyDescent="0.3">
      <c r="A77" s="16">
        <v>58</v>
      </c>
      <c r="B77" s="39">
        <f>BG17</f>
        <v>47074</v>
      </c>
      <c r="C77" s="41"/>
      <c r="D77" s="16"/>
    </row>
    <row r="78" spans="1:7" x14ac:dyDescent="0.3">
      <c r="A78" s="16">
        <v>59</v>
      </c>
      <c r="B78" s="39">
        <f>BH17</f>
        <v>47104</v>
      </c>
      <c r="C78" s="41"/>
      <c r="D78" s="16"/>
    </row>
    <row r="79" spans="1:7" x14ac:dyDescent="0.3">
      <c r="A79" s="16">
        <v>60</v>
      </c>
      <c r="B79" s="39">
        <f>BI17</f>
        <v>47135</v>
      </c>
      <c r="C79" s="41"/>
      <c r="D79" s="16"/>
    </row>
    <row r="80" spans="1:7" x14ac:dyDescent="0.3">
      <c r="A80" s="16">
        <v>61</v>
      </c>
      <c r="B80" s="39">
        <f>BJ17</f>
        <v>47166</v>
      </c>
      <c r="C80" s="41"/>
      <c r="D80" s="16"/>
    </row>
    <row r="81" spans="1:4" x14ac:dyDescent="0.3">
      <c r="A81" s="16">
        <v>62</v>
      </c>
      <c r="B81" s="39">
        <f>BK17</f>
        <v>47194</v>
      </c>
      <c r="C81" s="41"/>
      <c r="D81" s="16"/>
    </row>
    <row r="82" spans="1:4" x14ac:dyDescent="0.3">
      <c r="A82" s="16">
        <v>63</v>
      </c>
      <c r="B82" s="39">
        <f>BL17</f>
        <v>47225</v>
      </c>
      <c r="C82" s="41"/>
      <c r="D82" s="16"/>
    </row>
    <row r="83" spans="1:4" x14ac:dyDescent="0.3">
      <c r="A83" s="16">
        <v>64</v>
      </c>
      <c r="B83" s="39">
        <f>BM17</f>
        <v>47255</v>
      </c>
      <c r="C83" s="41"/>
      <c r="D83" s="16"/>
    </row>
    <row r="84" spans="1:4" x14ac:dyDescent="0.3">
      <c r="A84" s="16">
        <v>65</v>
      </c>
      <c r="B84" s="39">
        <f>BN17</f>
        <v>47286</v>
      </c>
      <c r="C84" s="41"/>
      <c r="D84" s="16"/>
    </row>
    <row r="85" spans="1:4" x14ac:dyDescent="0.3">
      <c r="A85" s="16">
        <v>66</v>
      </c>
      <c r="B85" s="39">
        <f>BO17</f>
        <v>47316</v>
      </c>
      <c r="C85" s="41"/>
      <c r="D85" s="16"/>
    </row>
    <row r="86" spans="1:4" x14ac:dyDescent="0.3">
      <c r="A86" s="16">
        <v>67</v>
      </c>
      <c r="B86" s="39">
        <f>BP17</f>
        <v>47347</v>
      </c>
      <c r="C86" s="41"/>
      <c r="D86" s="16"/>
    </row>
    <row r="87" spans="1:4" x14ac:dyDescent="0.3">
      <c r="A87" s="16">
        <v>68</v>
      </c>
      <c r="B87" s="39">
        <f>BQ17</f>
        <v>47378</v>
      </c>
      <c r="C87" s="41"/>
      <c r="D87" s="16"/>
    </row>
    <row r="88" spans="1:4" x14ac:dyDescent="0.3">
      <c r="A88" s="16">
        <v>69</v>
      </c>
      <c r="B88" s="39">
        <f>BR17</f>
        <v>47408</v>
      </c>
      <c r="C88" s="41"/>
      <c r="D88" s="16"/>
    </row>
    <row r="89" spans="1:4" x14ac:dyDescent="0.3">
      <c r="A89" s="16">
        <v>70</v>
      </c>
      <c r="B89" s="39">
        <f>BS17</f>
        <v>47439</v>
      </c>
      <c r="C89" s="41"/>
      <c r="D89" s="16"/>
    </row>
    <row r="90" spans="1:4" x14ac:dyDescent="0.3">
      <c r="A90" s="16">
        <v>71</v>
      </c>
      <c r="B90" s="39">
        <f>BT17</f>
        <v>47469</v>
      </c>
      <c r="C90" s="41"/>
      <c r="D90" s="16"/>
    </row>
    <row r="91" spans="1:4" x14ac:dyDescent="0.3">
      <c r="A91" s="16">
        <v>72</v>
      </c>
      <c r="B91" s="39">
        <f>BU17</f>
        <v>47500</v>
      </c>
      <c r="C91" s="41"/>
      <c r="D91" s="16"/>
    </row>
    <row r="92" spans="1:4" x14ac:dyDescent="0.3">
      <c r="B92" s="41"/>
    </row>
    <row r="93" spans="1:4" x14ac:dyDescent="0.3">
      <c r="B93" s="41"/>
    </row>
    <row r="94" spans="1:4" x14ac:dyDescent="0.3">
      <c r="B94" s="41"/>
    </row>
    <row r="95" spans="1:4" x14ac:dyDescent="0.3">
      <c r="B95" s="41"/>
    </row>
    <row r="96" spans="1:4" x14ac:dyDescent="0.3">
      <c r="B96" s="41"/>
    </row>
  </sheetData>
  <pageMargins left="0.7" right="0.7" top="0.75" bottom="0.75" header="0.3" footer="0.3"/>
  <pageSetup paperSize="9" orientation="portrait" verticalDpi="597" r:id="rId1"/>
  <headerFooter>
    <oddHeader>&amp;L&amp;"Calibri"&amp;10&amp;K000000Confidential&amp;1#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C35"/>
  <sheetViews>
    <sheetView zoomScaleNormal="100" workbookViewId="0">
      <selection activeCell="G8" sqref="G8"/>
    </sheetView>
  </sheetViews>
  <sheetFormatPr baseColWidth="10" defaultColWidth="11.44140625" defaultRowHeight="14.4" x14ac:dyDescent="0.3"/>
  <cols>
    <col min="1" max="1" width="47.109375" style="2" bestFit="1" customWidth="1"/>
    <col min="2" max="2" width="18.44140625" style="2" bestFit="1" customWidth="1"/>
    <col min="3" max="3" width="11.6640625" style="2" bestFit="1" customWidth="1"/>
    <col min="4" max="16384" width="11.44140625" style="2"/>
  </cols>
  <sheetData>
    <row r="2" spans="1:3" ht="23.4" x14ac:dyDescent="0.3">
      <c r="A2" s="173" t="s">
        <v>81</v>
      </c>
      <c r="B2" s="173"/>
      <c r="C2" s="173"/>
    </row>
    <row r="3" spans="1:3" x14ac:dyDescent="0.3">
      <c r="A3" s="17"/>
      <c r="B3" s="17"/>
      <c r="C3" s="6"/>
    </row>
    <row r="4" spans="1:3" ht="15" thickBot="1" x14ac:dyDescent="0.35">
      <c r="A4" s="172" t="s">
        <v>82</v>
      </c>
      <c r="B4" s="172"/>
      <c r="C4" s="6"/>
    </row>
    <row r="5" spans="1:3" ht="15" thickBot="1" x14ac:dyDescent="0.35">
      <c r="A5" s="60" t="s">
        <v>83</v>
      </c>
      <c r="B5" s="61">
        <f>Cotizador!C5</f>
        <v>537900</v>
      </c>
      <c r="C5" s="6"/>
    </row>
    <row r="6" spans="1:3" ht="15" thickBot="1" x14ac:dyDescent="0.35">
      <c r="A6" s="60" t="s">
        <v>84</v>
      </c>
      <c r="B6" s="62">
        <f>Cotizador!C6</f>
        <v>53790</v>
      </c>
      <c r="C6" s="63">
        <f>B6/B5</f>
        <v>0.1</v>
      </c>
    </row>
    <row r="7" spans="1:3" ht="15" thickBot="1" x14ac:dyDescent="0.35">
      <c r="A7" s="64" t="s">
        <v>33</v>
      </c>
      <c r="B7" s="65">
        <f>B5-B6</f>
        <v>484110</v>
      </c>
      <c r="C7" s="6"/>
    </row>
    <row r="8" spans="1:3" x14ac:dyDescent="0.3">
      <c r="A8" s="17"/>
      <c r="B8" s="17"/>
      <c r="C8" s="6"/>
    </row>
    <row r="9" spans="1:3" ht="15" thickBot="1" x14ac:dyDescent="0.35">
      <c r="A9" s="172" t="s">
        <v>82</v>
      </c>
      <c r="B9" s="172"/>
      <c r="C9" s="6"/>
    </row>
    <row r="10" spans="1:3" x14ac:dyDescent="0.3">
      <c r="A10" s="66" t="s">
        <v>24</v>
      </c>
      <c r="B10" s="67">
        <f>Cotizador!C19</f>
        <v>12</v>
      </c>
      <c r="C10" s="6"/>
    </row>
    <row r="11" spans="1:3" x14ac:dyDescent="0.3">
      <c r="A11" s="60" t="s">
        <v>85</v>
      </c>
      <c r="B11" s="68">
        <f>Cotizador!C20</f>
        <v>0.1</v>
      </c>
      <c r="C11" s="6"/>
    </row>
    <row r="12" spans="1:3" ht="15" thickBot="1" x14ac:dyDescent="0.35">
      <c r="A12" s="64" t="s">
        <v>86</v>
      </c>
      <c r="B12" s="69">
        <f>Cotizador!C20</f>
        <v>0.1</v>
      </c>
      <c r="C12" s="6"/>
    </row>
    <row r="13" spans="1:3" x14ac:dyDescent="0.3">
      <c r="A13" s="17"/>
      <c r="B13" s="17"/>
      <c r="C13" s="6"/>
    </row>
    <row r="14" spans="1:3" ht="15" thickBot="1" x14ac:dyDescent="0.35">
      <c r="A14" s="172" t="s">
        <v>87</v>
      </c>
      <c r="B14" s="172"/>
      <c r="C14" s="6"/>
    </row>
    <row r="15" spans="1:3" ht="15" thickBot="1" x14ac:dyDescent="0.35">
      <c r="A15" s="70" t="s">
        <v>88</v>
      </c>
      <c r="B15" s="71">
        <v>900</v>
      </c>
      <c r="C15" s="72"/>
    </row>
    <row r="16" spans="1:3" x14ac:dyDescent="0.3">
      <c r="A16" s="73"/>
      <c r="B16" s="74"/>
      <c r="C16" s="6"/>
    </row>
    <row r="17" spans="1:3" ht="15" thickBot="1" x14ac:dyDescent="0.35">
      <c r="A17" s="172" t="s">
        <v>87</v>
      </c>
      <c r="B17" s="172"/>
      <c r="C17" s="6"/>
    </row>
    <row r="18" spans="1:3" ht="15" thickBot="1" x14ac:dyDescent="0.35">
      <c r="A18" s="70" t="s">
        <v>89</v>
      </c>
      <c r="B18" s="71">
        <f>B7+(B15*B10/12)</f>
        <v>485010</v>
      </c>
      <c r="C18" s="72"/>
    </row>
    <row r="19" spans="1:3" x14ac:dyDescent="0.3">
      <c r="A19" s="17"/>
      <c r="B19" s="17"/>
      <c r="C19" s="6"/>
    </row>
    <row r="20" spans="1:3" ht="15" thickBot="1" x14ac:dyDescent="0.35">
      <c r="A20" s="172" t="s">
        <v>87</v>
      </c>
      <c r="B20" s="172"/>
      <c r="C20" s="6"/>
    </row>
    <row r="21" spans="1:3" x14ac:dyDescent="0.3">
      <c r="A21" s="66" t="s">
        <v>90</v>
      </c>
      <c r="B21" s="75">
        <f>-PMT(B11/12,B10,B18,0)</f>
        <v>42640.084465426953</v>
      </c>
      <c r="C21" s="6"/>
    </row>
    <row r="22" spans="1:3" x14ac:dyDescent="0.3">
      <c r="A22" s="60" t="s">
        <v>91</v>
      </c>
      <c r="B22" s="76">
        <f>-PMT(B12/12,B10,B18,0)</f>
        <v>42640.084465426953</v>
      </c>
      <c r="C22" s="6"/>
    </row>
    <row r="23" spans="1:3" ht="15" thickBot="1" x14ac:dyDescent="0.35">
      <c r="A23" s="64" t="s">
        <v>92</v>
      </c>
      <c r="B23" s="77">
        <f>B21-B22</f>
        <v>0</v>
      </c>
      <c r="C23" s="6"/>
    </row>
    <row r="24" spans="1:3" x14ac:dyDescent="0.3">
      <c r="A24" s="73"/>
      <c r="B24" s="78"/>
      <c r="C24" s="6"/>
    </row>
    <row r="25" spans="1:3" ht="15" thickBot="1" x14ac:dyDescent="0.35">
      <c r="A25" s="172" t="s">
        <v>93</v>
      </c>
      <c r="B25" s="172"/>
      <c r="C25" s="6"/>
    </row>
    <row r="26" spans="1:3" x14ac:dyDescent="0.3">
      <c r="A26" s="66" t="s">
        <v>94</v>
      </c>
      <c r="B26" s="75">
        <f>-PV(B11/12,B10,B23,0)</f>
        <v>0</v>
      </c>
      <c r="C26" s="6"/>
    </row>
    <row r="27" spans="1:3" x14ac:dyDescent="0.3">
      <c r="A27" s="60" t="s">
        <v>95</v>
      </c>
      <c r="B27" s="76">
        <f>B26*0.16</f>
        <v>0</v>
      </c>
      <c r="C27" s="6"/>
    </row>
    <row r="28" spans="1:3" ht="15" thickBot="1" x14ac:dyDescent="0.35">
      <c r="A28" s="79" t="s">
        <v>96</v>
      </c>
      <c r="B28" s="80" t="e">
        <f>IF(Cotizador!#REF!="Oferta Partner",(B26+B27)/2,B26+B27)</f>
        <v>#REF!</v>
      </c>
      <c r="C28" s="6"/>
    </row>
    <row r="29" spans="1:3" x14ac:dyDescent="0.3">
      <c r="A29" s="17"/>
      <c r="B29" s="17"/>
      <c r="C29" s="6"/>
    </row>
    <row r="31" spans="1:3" x14ac:dyDescent="0.3">
      <c r="B31" s="86"/>
    </row>
    <row r="33" spans="2:2" x14ac:dyDescent="0.3">
      <c r="B33" s="86"/>
    </row>
    <row r="34" spans="2:2" x14ac:dyDescent="0.3">
      <c r="B34" s="86"/>
    </row>
    <row r="35" spans="2:2" x14ac:dyDescent="0.3">
      <c r="B35" s="86"/>
    </row>
  </sheetData>
  <mergeCells count="7">
    <mergeCell ref="A25:B25"/>
    <mergeCell ref="A2:C2"/>
    <mergeCell ref="A4:B4"/>
    <mergeCell ref="A9:B9"/>
    <mergeCell ref="A14:B14"/>
    <mergeCell ref="A17:B17"/>
    <mergeCell ref="A20:B20"/>
  </mergeCells>
  <pageMargins left="0.7" right="0.7" top="0.75" bottom="0.75" header="0.3" footer="0.3"/>
  <pageSetup orientation="portrait" verticalDpi="597" r:id="rId1"/>
  <headerFooter>
    <oddHeader>&amp;L&amp;"Calibri"&amp;10&amp;K000000Confidential&amp;1#</oddHeader>
  </headerFooter>
  <ignoredErrors>
    <ignoredError sqref="B21:B23 B26:B27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74"/>
  <sheetViews>
    <sheetView topLeftCell="A28" zoomScaleNormal="100" workbookViewId="0">
      <selection activeCell="C50" sqref="C50"/>
    </sheetView>
  </sheetViews>
  <sheetFormatPr baseColWidth="10" defaultColWidth="0" defaultRowHeight="14.4" x14ac:dyDescent="0.3"/>
  <cols>
    <col min="1" max="1" width="4.33203125" style="3" customWidth="1"/>
    <col min="2" max="2" width="36.109375" style="3" bestFit="1" customWidth="1"/>
    <col min="3" max="3" width="15.109375" style="3" bestFit="1" customWidth="1"/>
    <col min="4" max="4" width="11.44140625" style="3" customWidth="1"/>
    <col min="5" max="5" width="19.44140625" style="3" customWidth="1"/>
    <col min="6" max="6" width="28.44140625" style="3" customWidth="1"/>
    <col min="7" max="7" width="11" style="3" hidden="1" customWidth="1"/>
    <col min="8" max="16384" width="11.44140625" style="3" hidden="1"/>
  </cols>
  <sheetData>
    <row r="1" spans="2:8" x14ac:dyDescent="0.3">
      <c r="H1" s="3" t="s">
        <v>25</v>
      </c>
    </row>
    <row r="2" spans="2:8" ht="21" x14ac:dyDescent="0.3">
      <c r="B2" s="175" t="s">
        <v>97</v>
      </c>
      <c r="C2" s="176"/>
      <c r="D2" s="176"/>
      <c r="E2" s="177"/>
      <c r="H2" s="3" t="s">
        <v>21</v>
      </c>
    </row>
    <row r="4" spans="2:8" x14ac:dyDescent="0.3">
      <c r="B4" s="174" t="s">
        <v>98</v>
      </c>
      <c r="C4" s="174"/>
      <c r="D4" s="174"/>
      <c r="E4" s="174"/>
    </row>
    <row r="5" spans="2:8" x14ac:dyDescent="0.3">
      <c r="B5" s="26" t="s">
        <v>99</v>
      </c>
      <c r="C5" s="18">
        <f>C6</f>
        <v>537900</v>
      </c>
      <c r="G5" s="19"/>
    </row>
    <row r="6" spans="2:8" x14ac:dyDescent="0.3">
      <c r="B6" s="26" t="s">
        <v>21</v>
      </c>
      <c r="C6" s="18">
        <f>Cotizador!C5</f>
        <v>537900</v>
      </c>
    </row>
    <row r="7" spans="2:8" x14ac:dyDescent="0.3">
      <c r="B7" s="26" t="s">
        <v>100</v>
      </c>
      <c r="C7" s="18">
        <f>C6-C5</f>
        <v>0</v>
      </c>
    </row>
    <row r="8" spans="2:8" x14ac:dyDescent="0.3">
      <c r="C8" s="18"/>
    </row>
    <row r="9" spans="2:8" x14ac:dyDescent="0.3">
      <c r="B9" s="174" t="s">
        <v>101</v>
      </c>
      <c r="C9" s="174"/>
      <c r="D9" s="174"/>
      <c r="E9" s="174"/>
    </row>
    <row r="10" spans="2:8" x14ac:dyDescent="0.3">
      <c r="B10" s="26" t="s">
        <v>102</v>
      </c>
      <c r="C10" s="18">
        <f>Cotizador!C18*Cotizador!C21</f>
        <v>10307.92196</v>
      </c>
      <c r="D10" s="20">
        <f>Cotizador!C21</f>
        <v>0.02</v>
      </c>
      <c r="E10" s="44" t="str">
        <f>Cotizador!C23</f>
        <v>Contado</v>
      </c>
      <c r="F10" s="18"/>
    </row>
    <row r="11" spans="2:8" x14ac:dyDescent="0.3">
      <c r="B11" s="26" t="s">
        <v>103</v>
      </c>
      <c r="C11" s="18">
        <f>(C27+C12+C13+C14)*D11</f>
        <v>0</v>
      </c>
      <c r="D11" s="20">
        <v>0</v>
      </c>
      <c r="E11" s="6" t="s">
        <v>21</v>
      </c>
    </row>
    <row r="12" spans="2:8" x14ac:dyDescent="0.3">
      <c r="B12" s="26" t="s">
        <v>104</v>
      </c>
      <c r="C12" s="18">
        <f>IF(Cotizador!$C$9="Externo",Cotizador!$D$11,Cotizador!$C$11)</f>
        <v>0</v>
      </c>
      <c r="E12" s="6" t="str">
        <f>Cotizador!C9</f>
        <v>Financiado</v>
      </c>
    </row>
    <row r="13" spans="2:8" x14ac:dyDescent="0.3">
      <c r="B13" s="26" t="s">
        <v>105</v>
      </c>
      <c r="C13" s="18">
        <f>Cotizador!C15</f>
        <v>800</v>
      </c>
      <c r="E13" s="6" t="s">
        <v>25</v>
      </c>
    </row>
    <row r="14" spans="2:8" x14ac:dyDescent="0.3">
      <c r="B14" s="26" t="s">
        <v>166</v>
      </c>
      <c r="C14" s="18">
        <f>Cotizador!C16</f>
        <v>30486.097999999998</v>
      </c>
      <c r="E14" s="6" t="s">
        <v>25</v>
      </c>
    </row>
    <row r="15" spans="2:8" x14ac:dyDescent="0.3">
      <c r="B15" s="26" t="s">
        <v>165</v>
      </c>
      <c r="C15" s="18">
        <f>Cotizador!C17</f>
        <v>0</v>
      </c>
      <c r="E15" s="6" t="s">
        <v>21</v>
      </c>
    </row>
    <row r="16" spans="2:8" x14ac:dyDescent="0.3">
      <c r="C16" s="18"/>
    </row>
    <row r="17" spans="2:5" x14ac:dyDescent="0.3">
      <c r="B17" s="174" t="s">
        <v>107</v>
      </c>
      <c r="C17" s="174"/>
      <c r="D17" s="174"/>
      <c r="E17" s="174"/>
    </row>
    <row r="18" spans="2:5" x14ac:dyDescent="0.3">
      <c r="B18" s="26" t="s">
        <v>84</v>
      </c>
      <c r="C18" s="18">
        <f>Cotizador!C6</f>
        <v>53790</v>
      </c>
      <c r="D18" s="21">
        <f>C18/C5</f>
        <v>0.1</v>
      </c>
    </row>
    <row r="19" spans="2:5" x14ac:dyDescent="0.3">
      <c r="B19" s="26" t="s">
        <v>102</v>
      </c>
      <c r="C19" s="18">
        <f>IF(E10="Financiado",0,C10)</f>
        <v>10307.92196</v>
      </c>
      <c r="D19" s="18"/>
    </row>
    <row r="20" spans="2:5" x14ac:dyDescent="0.3">
      <c r="B20" s="26" t="s">
        <v>103</v>
      </c>
      <c r="C20" s="18">
        <f>IF(E11="Financiado",0,C11)</f>
        <v>0</v>
      </c>
    </row>
    <row r="21" spans="2:5" x14ac:dyDescent="0.3">
      <c r="B21" s="26" t="s">
        <v>108</v>
      </c>
      <c r="C21" s="18">
        <f>IF(AND(Cotizador!C9="Contado",Cotizador!C10="Anual"),Cotizador!C11,IF(AND(Cotizador!C9="Contado",Cotizador!C10="Multianual Financiado"),Cotizador!C11+(Cotizador!C12*(Cotizador!C19-12)/12),IF(Cotizador!$C$9="Externo",Cotizador!$D$11,0)))</f>
        <v>0</v>
      </c>
    </row>
    <row r="22" spans="2:5" x14ac:dyDescent="0.3">
      <c r="B22" s="26" t="s">
        <v>105</v>
      </c>
      <c r="C22" s="18">
        <f>IF(E13="Financiado",0,C13)</f>
        <v>0</v>
      </c>
    </row>
    <row r="23" spans="2:5" x14ac:dyDescent="0.3">
      <c r="B23" s="26" t="s">
        <v>106</v>
      </c>
      <c r="C23" s="18">
        <f>IF(E14="Financiado",0,C14)</f>
        <v>0</v>
      </c>
    </row>
    <row r="24" spans="2:5" ht="18" customHeight="1" x14ac:dyDescent="0.3">
      <c r="B24" s="27" t="s">
        <v>109</v>
      </c>
      <c r="C24" s="23">
        <f>SUM(C18:C23)</f>
        <v>64097.92196</v>
      </c>
      <c r="E24" s="82">
        <f>C18+(C19*1.16)+C20+C21+C22+C23</f>
        <v>65747.189473599996</v>
      </c>
    </row>
    <row r="25" spans="2:5" x14ac:dyDescent="0.3">
      <c r="B25" s="17"/>
      <c r="C25" s="18"/>
    </row>
    <row r="26" spans="2:5" x14ac:dyDescent="0.3">
      <c r="B26" s="174" t="s">
        <v>110</v>
      </c>
      <c r="C26" s="174"/>
      <c r="D26" s="174"/>
      <c r="E26" s="174"/>
    </row>
    <row r="27" spans="2:5" x14ac:dyDescent="0.3">
      <c r="B27" s="26" t="s">
        <v>33</v>
      </c>
      <c r="C27" s="22">
        <f>C5-C18</f>
        <v>484110</v>
      </c>
    </row>
    <row r="28" spans="2:5" x14ac:dyDescent="0.3">
      <c r="B28" s="26" t="s">
        <v>102</v>
      </c>
      <c r="C28" s="18">
        <f>IF(E10="Financiado",C10,0)</f>
        <v>0</v>
      </c>
    </row>
    <row r="29" spans="2:5" x14ac:dyDescent="0.3">
      <c r="B29" s="26" t="s">
        <v>103</v>
      </c>
      <c r="C29" s="18">
        <f>IF(E11="Financiado",C11,0)</f>
        <v>0</v>
      </c>
    </row>
    <row r="30" spans="2:5" x14ac:dyDescent="0.3">
      <c r="B30" s="26" t="s">
        <v>108</v>
      </c>
      <c r="C30" s="18">
        <f>IF(AND(Cotizador!C9="Financiado",Cotizador!C10="Anual"),Cotizador!C11*(Cotizador!C19/12),IF(AND(Cotizador!C9="Financiado",Cotizador!C10="Multianual Fraccionado"),Cotizador!C11+(Cotizador!C12*(Cotizador!C19-12)/12),IF(AND(Cotizador!C9="Financiado",Cotizador!C10="Multianual Financiado"),Cotizador!C11+(Cotizador!C12*(Cotizador!C19-12)/12),0)))</f>
        <v>0</v>
      </c>
    </row>
    <row r="31" spans="2:5" x14ac:dyDescent="0.3">
      <c r="B31" s="26" t="s">
        <v>105</v>
      </c>
      <c r="C31" s="18">
        <f>C13*(C35/12)</f>
        <v>800</v>
      </c>
    </row>
    <row r="32" spans="2:5" x14ac:dyDescent="0.3">
      <c r="B32" s="26" t="s">
        <v>106</v>
      </c>
      <c r="C32" s="18">
        <f>C14</f>
        <v>30486.097999999998</v>
      </c>
    </row>
    <row r="33" spans="2:7" x14ac:dyDescent="0.3">
      <c r="B33" s="27" t="s">
        <v>109</v>
      </c>
      <c r="C33" s="23">
        <f>SUM(C27:C32)</f>
        <v>515396.098</v>
      </c>
    </row>
    <row r="34" spans="2:7" x14ac:dyDescent="0.3">
      <c r="B34" s="26" t="s">
        <v>111</v>
      </c>
      <c r="C34" s="31">
        <f>Cotizador!C20</f>
        <v>0.1</v>
      </c>
    </row>
    <row r="35" spans="2:7" x14ac:dyDescent="0.3">
      <c r="B35" s="26" t="s">
        <v>112</v>
      </c>
      <c r="C35" s="24">
        <f>Cotizador!C19</f>
        <v>12</v>
      </c>
    </row>
    <row r="36" spans="2:7" x14ac:dyDescent="0.3">
      <c r="C36" s="18"/>
    </row>
    <row r="37" spans="2:7" x14ac:dyDescent="0.3">
      <c r="B37" s="174" t="s">
        <v>113</v>
      </c>
      <c r="C37" s="174"/>
      <c r="D37" s="174"/>
      <c r="E37" s="174"/>
    </row>
    <row r="38" spans="2:7" x14ac:dyDescent="0.3">
      <c r="B38" s="26" t="s">
        <v>33</v>
      </c>
      <c r="C38" s="18">
        <f>-PMT(C34/12,C35,C27,0)</f>
        <v>42560.960166919947</v>
      </c>
      <c r="G38" s="7"/>
    </row>
    <row r="39" spans="2:7" x14ac:dyDescent="0.3">
      <c r="B39" s="26" t="s">
        <v>114</v>
      </c>
      <c r="C39" s="18">
        <f>-PMT(C34/12,C35,C28,0)</f>
        <v>0</v>
      </c>
      <c r="G39" s="7"/>
    </row>
    <row r="40" spans="2:7" x14ac:dyDescent="0.3">
      <c r="B40" s="26" t="s">
        <v>103</v>
      </c>
      <c r="C40" s="18">
        <f>-PMT(C34/12,C35,C29,0)</f>
        <v>0</v>
      </c>
      <c r="G40" s="7"/>
    </row>
    <row r="41" spans="2:7" x14ac:dyDescent="0.3">
      <c r="B41" s="26" t="s">
        <v>108</v>
      </c>
      <c r="C41" s="18">
        <f>-PMT(C34/12,C35,C30,0)</f>
        <v>0</v>
      </c>
      <c r="G41" s="7"/>
    </row>
    <row r="42" spans="2:7" x14ac:dyDescent="0.3">
      <c r="B42" s="26" t="s">
        <v>115</v>
      </c>
      <c r="C42" s="18">
        <f>-PMT(C34/12,C35,C31,0)</f>
        <v>70.332709784007676</v>
      </c>
      <c r="G42" s="7"/>
    </row>
    <row r="43" spans="2:7" x14ac:dyDescent="0.3">
      <c r="B43" s="26" t="s">
        <v>106</v>
      </c>
      <c r="C43" s="18">
        <f>-PMT(C34/12,C35,C32,0)</f>
        <v>2680.2123538510209</v>
      </c>
      <c r="E43" s="7"/>
    </row>
    <row r="44" spans="2:7" x14ac:dyDescent="0.3">
      <c r="B44" s="27" t="s">
        <v>109</v>
      </c>
      <c r="C44" s="23">
        <f>SUM(C38:C43)</f>
        <v>45311.505230554976</v>
      </c>
      <c r="E44" s="7"/>
      <c r="G44" s="32"/>
    </row>
    <row r="45" spans="2:7" x14ac:dyDescent="0.3">
      <c r="F45" s="18"/>
    </row>
    <row r="46" spans="2:7" x14ac:dyDescent="0.3">
      <c r="B46" s="174" t="s">
        <v>116</v>
      </c>
      <c r="C46" s="174"/>
      <c r="D46" s="174"/>
      <c r="E46" s="174"/>
    </row>
    <row r="47" spans="2:7" x14ac:dyDescent="0.3">
      <c r="B47" s="26" t="s">
        <v>117</v>
      </c>
      <c r="C47" s="23">
        <f>Cotizador!P111</f>
        <v>28482.674579150415</v>
      </c>
    </row>
    <row r="48" spans="2:7" x14ac:dyDescent="0.3">
      <c r="B48" s="26" t="s">
        <v>118</v>
      </c>
      <c r="C48" s="23">
        <f>SUM(Cotizador!BI35:BI107)+C7</f>
        <v>545599.21534277068</v>
      </c>
    </row>
    <row r="49" spans="2:6" x14ac:dyDescent="0.3">
      <c r="B49" s="25"/>
      <c r="C49" s="23"/>
    </row>
    <row r="50" spans="2:6" ht="23.4" x14ac:dyDescent="0.3">
      <c r="B50" s="28" t="s">
        <v>119</v>
      </c>
      <c r="C50" s="30">
        <f>IF(C53&gt;0,(1+IRR(Cotizador!BI34:BI107,0))^$C$54-1,0)</f>
        <v>0.25855192301221153</v>
      </c>
      <c r="D50" s="15"/>
      <c r="E50" s="15"/>
      <c r="F50" s="149"/>
    </row>
    <row r="53" spans="2:6" x14ac:dyDescent="0.3">
      <c r="B53" s="29" t="s">
        <v>120</v>
      </c>
      <c r="C53" s="24">
        <f>C35</f>
        <v>12</v>
      </c>
    </row>
    <row r="54" spans="2:6" x14ac:dyDescent="0.3">
      <c r="B54" s="29" t="s">
        <v>121</v>
      </c>
      <c r="C54" s="24">
        <v>12</v>
      </c>
    </row>
    <row r="55" spans="2:6" x14ac:dyDescent="0.3">
      <c r="C55" s="18"/>
    </row>
    <row r="56" spans="2:6" x14ac:dyDescent="0.3">
      <c r="C56" s="18"/>
    </row>
    <row r="57" spans="2:6" x14ac:dyDescent="0.3">
      <c r="B57" s="25" t="s">
        <v>125</v>
      </c>
      <c r="C57" s="23"/>
    </row>
    <row r="58" spans="2:6" x14ac:dyDescent="0.3">
      <c r="B58" s="3" t="s">
        <v>40</v>
      </c>
      <c r="C58" s="4">
        <f>Cotizador!C7</f>
        <v>484110</v>
      </c>
    </row>
    <row r="59" spans="2:6" x14ac:dyDescent="0.3">
      <c r="B59" s="3" t="s">
        <v>126</v>
      </c>
      <c r="C59" s="4">
        <f>C28</f>
        <v>0</v>
      </c>
    </row>
    <row r="60" spans="2:6" x14ac:dyDescent="0.3">
      <c r="B60" s="3" t="s">
        <v>127</v>
      </c>
      <c r="C60" s="4">
        <f>IF(AND(Cotizador!C9="Financiado",Cotizador!C10="Anual"),Cotizador!C11,IF(AND(Cotizador!C9="Financiado",Cotizador!C10="Multianual Financiado"),Cotizador!C11,IF(AND(Cotizador!C9="Financiado",Cotizador!C10="Multianual Fraccionado"),Cotizador!C11,IF(OR(Cotizador!C9="Externo",AND(Cotizador!C9="Contado",OR(Cotizador!C10="Multianual Fraccionado",Cotizador!C10="M13"))),0,0))))</f>
        <v>0</v>
      </c>
      <c r="D60" s="5"/>
    </row>
    <row r="61" spans="2:6" x14ac:dyDescent="0.3">
      <c r="B61" s="3" t="s">
        <v>128</v>
      </c>
      <c r="C61" s="4">
        <f>Cotizador!C15</f>
        <v>800</v>
      </c>
    </row>
    <row r="62" spans="2:6" x14ac:dyDescent="0.3">
      <c r="B62" s="3" t="s">
        <v>129</v>
      </c>
      <c r="C62" s="4">
        <f>Cotizador!C16</f>
        <v>30486.097999999998</v>
      </c>
    </row>
    <row r="63" spans="2:6" x14ac:dyDescent="0.3">
      <c r="B63" s="25" t="s">
        <v>130</v>
      </c>
      <c r="C63" s="123">
        <f>SUM(C58:C62)</f>
        <v>515396.098</v>
      </c>
    </row>
    <row r="65" spans="2:3" x14ac:dyDescent="0.3">
      <c r="B65" s="25" t="s">
        <v>131</v>
      </c>
    </row>
    <row r="66" spans="2:3" x14ac:dyDescent="0.3">
      <c r="B66" s="3" t="s">
        <v>132</v>
      </c>
      <c r="C66" s="125">
        <f>C7</f>
        <v>0</v>
      </c>
    </row>
    <row r="67" spans="2:3" x14ac:dyDescent="0.3">
      <c r="B67" s="3" t="s">
        <v>126</v>
      </c>
      <c r="C67" s="4">
        <f>Cotizador!C22/1.16</f>
        <v>10307.92196</v>
      </c>
    </row>
    <row r="68" spans="2:3" x14ac:dyDescent="0.3">
      <c r="B68" s="3" t="s">
        <v>127</v>
      </c>
      <c r="C68" s="4">
        <f>IF(AND(OR(Cotizador!C9="Financiado",Cotizador!C9="Contado"),Cotizador!C10="Anual"),Cotizador!C11,IF(AND(OR(Cotizador!C9="Contado",Cotizador!C9="Financiado"),Cotizador!C10="Multianual Financiado"),Cotizador!C11,IF(AND(Cotizador!C9="Financiado",Cotizador!C10="Multianual Fraccionado"),Cotizador!C11,IF(AND(Cotizador!C9="Contado",OR(Cotizador!C10="Multianual Fraccionado",Cotizador!C10="M13")),Cotizador!C11,IF(Cotizador!C9="Externo",Cotizador!D11,0)))))</f>
        <v>0</v>
      </c>
    </row>
    <row r="69" spans="2:3" x14ac:dyDescent="0.3">
      <c r="B69" s="3" t="s">
        <v>128</v>
      </c>
      <c r="C69" s="4">
        <f>Cotizador!C15</f>
        <v>800</v>
      </c>
    </row>
    <row r="70" spans="2:3" x14ac:dyDescent="0.3">
      <c r="B70" s="3" t="s">
        <v>129</v>
      </c>
      <c r="C70" s="4">
        <f>Cotizador!C16</f>
        <v>30486.097999999998</v>
      </c>
    </row>
    <row r="71" spans="2:3" x14ac:dyDescent="0.3">
      <c r="B71" s="3" t="s">
        <v>138</v>
      </c>
      <c r="C71" s="4">
        <f>Cotizador!C17</f>
        <v>0</v>
      </c>
    </row>
    <row r="72" spans="2:3" x14ac:dyDescent="0.3">
      <c r="B72" s="25" t="s">
        <v>130</v>
      </c>
      <c r="C72" s="126">
        <f>SUM(C66:C71)</f>
        <v>41594.019959999998</v>
      </c>
    </row>
    <row r="74" spans="2:3" x14ac:dyDescent="0.3">
      <c r="B74" s="116" t="s">
        <v>133</v>
      </c>
      <c r="C74" s="124">
        <f>-C63+C72</f>
        <v>-473802.07803999999</v>
      </c>
    </row>
  </sheetData>
  <mergeCells count="7">
    <mergeCell ref="B46:E46"/>
    <mergeCell ref="B2:E2"/>
    <mergeCell ref="B4:E4"/>
    <mergeCell ref="B9:E9"/>
    <mergeCell ref="B17:E17"/>
    <mergeCell ref="B26:E26"/>
    <mergeCell ref="B37:E37"/>
  </mergeCells>
  <dataValidations disablePrompts="1" count="1">
    <dataValidation type="list" allowBlank="1" showInputMessage="1" showErrorMessage="1" sqref="E10:E15" xr:uid="{00000000-0002-0000-0300-000000000000}">
      <formula1>$H$1:$H$2</formula1>
    </dataValidation>
  </dataValidations>
  <pageMargins left="0.7" right="0.7" top="0.75" bottom="0.75" header="0.3" footer="0.3"/>
  <pageSetup paperSize="9" orientation="portrait" verticalDpi="597" r:id="rId1"/>
  <headerFooter>
    <oddHeader>&amp;L&amp;"Calibri"&amp;10&amp;K000000Confidential&amp;1#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0C0E-BAF4-4551-9F92-8C0537A5C21A}">
  <dimension ref="B1:L89"/>
  <sheetViews>
    <sheetView workbookViewId="0">
      <selection activeCell="E11" sqref="E11"/>
    </sheetView>
  </sheetViews>
  <sheetFormatPr baseColWidth="10" defaultColWidth="11.44140625" defaultRowHeight="13.2" x14ac:dyDescent="0.25"/>
  <cols>
    <col min="1" max="1" width="1.44140625" style="128" customWidth="1"/>
    <col min="2" max="2" width="18.88671875" style="128" bestFit="1" customWidth="1"/>
    <col min="3" max="11" width="17.6640625" style="128" customWidth="1"/>
    <col min="12" max="16384" width="11.44140625" style="128"/>
  </cols>
  <sheetData>
    <row r="1" spans="2:12" ht="22.8" x14ac:dyDescent="0.25">
      <c r="B1" s="178" t="s">
        <v>141</v>
      </c>
      <c r="C1" s="178"/>
      <c r="D1" s="178"/>
      <c r="E1" s="178"/>
      <c r="F1" s="178"/>
      <c r="G1" s="178"/>
      <c r="H1" s="178"/>
      <c r="I1" s="178"/>
      <c r="J1" s="178"/>
      <c r="K1" s="178"/>
    </row>
    <row r="2" spans="2:12" x14ac:dyDescent="0.25">
      <c r="B2" s="129" t="s">
        <v>142</v>
      </c>
      <c r="C2" s="179"/>
      <c r="D2" s="179"/>
      <c r="J2" s="130" t="s">
        <v>143</v>
      </c>
      <c r="K2" s="131"/>
    </row>
    <row r="3" spans="2:12" x14ac:dyDescent="0.25">
      <c r="B3" s="129" t="s">
        <v>89</v>
      </c>
      <c r="C3" s="147">
        <f>Cotizador!C18</f>
        <v>515396.098</v>
      </c>
      <c r="D3" s="132"/>
      <c r="J3" s="130" t="s">
        <v>0</v>
      </c>
      <c r="K3" s="133">
        <f>Cotizador!I1</f>
        <v>45295</v>
      </c>
      <c r="L3" s="134"/>
    </row>
    <row r="4" spans="2:12" x14ac:dyDescent="0.25">
      <c r="B4" s="129" t="s">
        <v>112</v>
      </c>
      <c r="C4" s="145">
        <f>Cotizador!C19</f>
        <v>12</v>
      </c>
      <c r="D4" s="132"/>
    </row>
    <row r="5" spans="2:12" x14ac:dyDescent="0.25">
      <c r="B5" s="129" t="s">
        <v>144</v>
      </c>
      <c r="C5" s="146">
        <f>Cotizador!C20</f>
        <v>0.1</v>
      </c>
      <c r="D5" s="132"/>
      <c r="J5" s="135"/>
    </row>
    <row r="6" spans="2:12" x14ac:dyDescent="0.25">
      <c r="B6" s="128" t="s">
        <v>22</v>
      </c>
      <c r="C6" s="144" t="str">
        <f>Cotizador!C10</f>
        <v>Multianual Financiado</v>
      </c>
      <c r="J6" s="135"/>
    </row>
    <row r="7" spans="2:12" x14ac:dyDescent="0.25">
      <c r="B7" s="128" t="s">
        <v>145</v>
      </c>
      <c r="C7" s="145" t="str">
        <f>Cotizador!C9</f>
        <v>Financiado</v>
      </c>
    </row>
    <row r="8" spans="2:12" x14ac:dyDescent="0.25">
      <c r="B8" s="128" t="s">
        <v>146</v>
      </c>
      <c r="C8" s="148">
        <f>Cotizador!C15</f>
        <v>800</v>
      </c>
    </row>
    <row r="9" spans="2:12" x14ac:dyDescent="0.25">
      <c r="B9" s="136"/>
      <c r="C9" s="136"/>
      <c r="D9" s="136"/>
      <c r="E9" s="136"/>
      <c r="F9" s="136"/>
      <c r="G9" s="136"/>
      <c r="H9" s="136"/>
      <c r="I9" s="136"/>
      <c r="J9" s="136"/>
      <c r="K9" s="136"/>
    </row>
    <row r="10" spans="2:12" s="138" customFormat="1" ht="36" customHeight="1" x14ac:dyDescent="0.3">
      <c r="B10" s="137" t="s">
        <v>147</v>
      </c>
      <c r="C10" s="137" t="s">
        <v>148</v>
      </c>
      <c r="D10" s="137" t="s">
        <v>149</v>
      </c>
      <c r="E10" s="137" t="s">
        <v>150</v>
      </c>
      <c r="F10" s="137" t="s">
        <v>151</v>
      </c>
      <c r="G10" s="137" t="s">
        <v>128</v>
      </c>
      <c r="H10" s="137" t="s">
        <v>152</v>
      </c>
      <c r="I10" s="137" t="s">
        <v>153</v>
      </c>
      <c r="J10" s="137" t="s">
        <v>154</v>
      </c>
      <c r="K10" s="137" t="s">
        <v>155</v>
      </c>
    </row>
    <row r="11" spans="2:12" x14ac:dyDescent="0.25">
      <c r="B11" s="139">
        <f>Cotizador!B35</f>
        <v>0</v>
      </c>
      <c r="C11" s="140">
        <f>Cotizador!C35</f>
        <v>45308</v>
      </c>
      <c r="D11" s="141">
        <f>Cotizador!N35</f>
        <v>484110</v>
      </c>
      <c r="E11" s="141">
        <f>Cotizador!X35</f>
        <v>0</v>
      </c>
      <c r="F11" s="141">
        <f>Cotizador!AR35</f>
        <v>30486.097999999998</v>
      </c>
      <c r="G11" s="141">
        <f>Cotizador!AH35</f>
        <v>0</v>
      </c>
      <c r="H11" s="141">
        <f>Cotizador!E35</f>
        <v>0</v>
      </c>
      <c r="I11" s="141">
        <f>Cotizador!F35</f>
        <v>1861.1525761111111</v>
      </c>
      <c r="J11" s="141">
        <f>Cotizador!H35</f>
        <v>297.78441217777777</v>
      </c>
      <c r="K11" s="141">
        <f>Cotizador!I35</f>
        <v>2158.9369882888886</v>
      </c>
    </row>
    <row r="12" spans="2:12" x14ac:dyDescent="0.25">
      <c r="B12" s="139">
        <f>Cotizador!B36</f>
        <v>1</v>
      </c>
      <c r="C12" s="140">
        <f>Cotizador!C36</f>
        <v>45339</v>
      </c>
      <c r="D12" s="141">
        <f>Cotizador!N36</f>
        <v>484110</v>
      </c>
      <c r="E12" s="141">
        <f>Cotizador!X36</f>
        <v>0</v>
      </c>
      <c r="F12" s="141">
        <f>Cotizador!AR36</f>
        <v>30486.097999999998</v>
      </c>
      <c r="G12" s="141">
        <f>Cotizador!AH36</f>
        <v>800</v>
      </c>
      <c r="H12" s="141">
        <f>Cotizador!E36</f>
        <v>41016.537747221642</v>
      </c>
      <c r="I12" s="141">
        <f>Cotizador!F36</f>
        <v>4294.9674833333329</v>
      </c>
      <c r="J12" s="141">
        <f>Cotizador!H36</f>
        <v>687.19479733333333</v>
      </c>
      <c r="K12" s="141">
        <f>Cotizador!I36</f>
        <v>45998.700027888306</v>
      </c>
    </row>
    <row r="13" spans="2:12" x14ac:dyDescent="0.25">
      <c r="B13" s="139">
        <f>Cotizador!B37</f>
        <v>2</v>
      </c>
      <c r="C13" s="140">
        <f>Cotizador!C37</f>
        <v>45368</v>
      </c>
      <c r="D13" s="141">
        <f>Cotizador!N37</f>
        <v>445583.28983308002</v>
      </c>
      <c r="E13" s="141">
        <f>Cotizador!X37</f>
        <v>0</v>
      </c>
      <c r="F13" s="141">
        <f>Cotizador!AR37</f>
        <v>28059.936462815644</v>
      </c>
      <c r="G13" s="141">
        <f>Cotizador!AH37</f>
        <v>736.33395688265898</v>
      </c>
      <c r="H13" s="141">
        <f>Cotizador!E37</f>
        <v>41358.342228448484</v>
      </c>
      <c r="I13" s="141">
        <f>Cotizador!F37</f>
        <v>3953.1630021064866</v>
      </c>
      <c r="J13" s="141">
        <f>Cotizador!H37</f>
        <v>632.50608033703782</v>
      </c>
      <c r="K13" s="141">
        <f>Cotizador!I37</f>
        <v>45944.011310892012</v>
      </c>
    </row>
    <row r="14" spans="2:12" x14ac:dyDescent="0.25">
      <c r="B14" s="139">
        <f>Cotizador!B38</f>
        <v>3</v>
      </c>
      <c r="C14" s="140">
        <f>Cotizador!C38</f>
        <v>45399</v>
      </c>
      <c r="D14" s="141">
        <f>Cotizador!N38</f>
        <v>406735.52374810242</v>
      </c>
      <c r="E14" s="141">
        <f>Cotizador!X38</f>
        <v>0</v>
      </c>
      <c r="F14" s="141">
        <f>Cotizador!AR38</f>
        <v>25613.556912821419</v>
      </c>
      <c r="G14" s="141">
        <f>Cotizador!AH38</f>
        <v>672.13736340600678</v>
      </c>
      <c r="H14" s="141">
        <f>Cotizador!E38</f>
        <v>41702.99508035223</v>
      </c>
      <c r="I14" s="141">
        <f>Cotizador!F38</f>
        <v>3608.5101502027487</v>
      </c>
      <c r="J14" s="141">
        <f>Cotizador!H38</f>
        <v>577.36162403243986</v>
      </c>
      <c r="K14" s="141">
        <f>Cotizador!I38</f>
        <v>45888.866854587417</v>
      </c>
    </row>
    <row r="15" spans="2:12" x14ac:dyDescent="0.25">
      <c r="B15" s="139">
        <f>Cotizador!B39</f>
        <v>4</v>
      </c>
      <c r="C15" s="140">
        <f>Cotizador!C39</f>
        <v>45429</v>
      </c>
      <c r="D15" s="141">
        <f>Cotizador!N39</f>
        <v>367564.02627908334</v>
      </c>
      <c r="E15" s="141">
        <f>Cotizador!X39</f>
        <v>0</v>
      </c>
      <c r="F15" s="141">
        <f>Cotizador!AR39</f>
        <v>23146.790866577245</v>
      </c>
      <c r="G15" s="141">
        <f>Cotizador!AH39</f>
        <v>607.40579831704918</v>
      </c>
      <c r="H15" s="141">
        <f>Cotizador!E39</f>
        <v>42050.520039355164</v>
      </c>
      <c r="I15" s="141">
        <f>Cotizador!F39</f>
        <v>3260.9851911998135</v>
      </c>
      <c r="J15" s="141">
        <f>Cotizador!H39</f>
        <v>521.75763059197016</v>
      </c>
      <c r="K15" s="141">
        <f>Cotizador!I39</f>
        <v>45833.262861146948</v>
      </c>
    </row>
    <row r="16" spans="2:12" x14ac:dyDescent="0.25">
      <c r="B16" s="139">
        <f>Cotizador!B40</f>
        <v>5</v>
      </c>
      <c r="C16" s="140">
        <f>Cotizador!C40</f>
        <v>45460</v>
      </c>
      <c r="D16" s="141">
        <f>Cotizador!N40</f>
        <v>328066.0996644891</v>
      </c>
      <c r="E16" s="141">
        <f>Cotizador!X40</f>
        <v>0</v>
      </c>
      <c r="F16" s="141">
        <f>Cotizador!AR40</f>
        <v>20659.468436614367</v>
      </c>
      <c r="G16" s="141">
        <f>Cotizador!AH40</f>
        <v>542.13480351901694</v>
      </c>
      <c r="H16" s="141">
        <f>Cotizador!E40</f>
        <v>42400.941039683115</v>
      </c>
      <c r="I16" s="141">
        <f>Cotizador!F40</f>
        <v>2910.564190871854</v>
      </c>
      <c r="J16" s="141">
        <f>Cotizador!H40</f>
        <v>465.69027053949662</v>
      </c>
      <c r="K16" s="141">
        <f>Cotizador!I40</f>
        <v>45777.195501094473</v>
      </c>
    </row>
    <row r="17" spans="2:11" x14ac:dyDescent="0.25">
      <c r="B17" s="139">
        <f>Cotizador!B41</f>
        <v>6</v>
      </c>
      <c r="C17" s="140">
        <f>Cotizador!C41</f>
        <v>45490</v>
      </c>
      <c r="D17" s="141">
        <f>Cotizador!N41</f>
        <v>288239.02366143989</v>
      </c>
      <c r="E17" s="141">
        <f>Cotizador!X41</f>
        <v>0</v>
      </c>
      <c r="F17" s="141">
        <f>Cotizador!AR41</f>
        <v>18151.41831973513</v>
      </c>
      <c r="G17" s="141">
        <f>Cotizador!AH41</f>
        <v>476.31988376433441</v>
      </c>
      <c r="H17" s="141">
        <f>Cotizador!E41</f>
        <v>42754.282215013816</v>
      </c>
      <c r="I17" s="141">
        <f>Cotizador!F41</f>
        <v>2557.2230155411612</v>
      </c>
      <c r="J17" s="141">
        <f>Cotizador!H41</f>
        <v>409.15568248658582</v>
      </c>
      <c r="K17" s="141">
        <f>Cotizador!I41</f>
        <v>45720.66091304156</v>
      </c>
    </row>
    <row r="18" spans="2:11" x14ac:dyDescent="0.25">
      <c r="B18" s="139">
        <f>Cotizador!B42</f>
        <v>7</v>
      </c>
      <c r="C18" s="140">
        <f>Cotizador!C42</f>
        <v>45521</v>
      </c>
      <c r="D18" s="141">
        <f>Cotizador!N42</f>
        <v>248080.05535836527</v>
      </c>
      <c r="E18" s="141">
        <f>Cotizador!X42</f>
        <v>0</v>
      </c>
      <c r="F18" s="141">
        <f>Cotizador!AR42</f>
        <v>15622.467785215234</v>
      </c>
      <c r="G18" s="141">
        <f>Cotizador!AH42</f>
        <v>409.95650634502954</v>
      </c>
      <c r="H18" s="141">
        <f>Cotizador!E42</f>
        <v>43110.567900138929</v>
      </c>
      <c r="I18" s="141">
        <f>Cotizador!F42</f>
        <v>2200.9373304160463</v>
      </c>
      <c r="J18" s="141">
        <f>Cotizador!H42</f>
        <v>352.1499728665674</v>
      </c>
      <c r="K18" s="141">
        <f>Cotizador!I42</f>
        <v>45663.655203421542</v>
      </c>
    </row>
    <row r="19" spans="2:11" x14ac:dyDescent="0.25">
      <c r="B19" s="139">
        <f>Cotizador!B43</f>
        <v>8</v>
      </c>
      <c r="C19" s="140">
        <f>Cotizador!C43</f>
        <v>45552</v>
      </c>
      <c r="D19" s="141">
        <f>Cotizador!N43</f>
        <v>207586.42898609836</v>
      </c>
      <c r="E19" s="141">
        <f>Cotizador!X43</f>
        <v>0</v>
      </c>
      <c r="F19" s="141">
        <f>Cotizador!AR43</f>
        <v>13072.442662907673</v>
      </c>
      <c r="G19" s="141">
        <f>Cotizador!AH43</f>
        <v>343.04010078056376</v>
      </c>
      <c r="H19" s="141">
        <f>Cotizador!E43</f>
        <v>43469.822632640084</v>
      </c>
      <c r="I19" s="141">
        <f>Cotizador!F43</f>
        <v>1841.6825979148882</v>
      </c>
      <c r="J19" s="141">
        <f>Cotizador!H43</f>
        <v>294.66921566638212</v>
      </c>
      <c r="K19" s="141">
        <f>Cotizador!I43</f>
        <v>45606.174446221361</v>
      </c>
    </row>
    <row r="20" spans="2:11" x14ac:dyDescent="0.25">
      <c r="B20" s="139">
        <f>Cotizador!B44</f>
        <v>9</v>
      </c>
      <c r="C20" s="140">
        <f>Cotizador!C44</f>
        <v>45582</v>
      </c>
      <c r="D20" s="141">
        <f>Cotizador!N44</f>
        <v>166755.35572739589</v>
      </c>
      <c r="E20" s="141">
        <f>Cotizador!X44</f>
        <v>0</v>
      </c>
      <c r="F20" s="141">
        <f>Cotizador!AR44</f>
        <v>10501.16733124755</v>
      </c>
      <c r="G20" s="141">
        <f>Cotizador!AH44</f>
        <v>275.56605850306079</v>
      </c>
      <c r="H20" s="141">
        <f>Cotizador!E44</f>
        <v>43832.071154578756</v>
      </c>
      <c r="I20" s="141">
        <f>Cotizador!F44</f>
        <v>1479.434075976221</v>
      </c>
      <c r="J20" s="141">
        <f>Cotizador!H44</f>
        <v>236.70945215619537</v>
      </c>
      <c r="K20" s="141">
        <f>Cotizador!I44</f>
        <v>45548.214682711172</v>
      </c>
    </row>
    <row r="21" spans="2:11" x14ac:dyDescent="0.25">
      <c r="B21" s="139">
        <f>Cotizador!B45</f>
        <v>10</v>
      </c>
      <c r="C21" s="140">
        <f>Cotizador!C45</f>
        <v>45613</v>
      </c>
      <c r="D21" s="141">
        <f>Cotizador!N45</f>
        <v>125584.02352487091</v>
      </c>
      <c r="E21" s="141">
        <f>Cotizador!X45</f>
        <v>0</v>
      </c>
      <c r="F21" s="141">
        <f>Cotizador!AR45</f>
        <v>7908.4647051569264</v>
      </c>
      <c r="G21" s="141">
        <f>Cotizador!AH45</f>
        <v>207.52973253991195</v>
      </c>
      <c r="H21" s="141">
        <f>Cotizador!E45</f>
        <v>44197.338414200247</v>
      </c>
      <c r="I21" s="141">
        <f>Cotizador!F45</f>
        <v>1114.1668163547313</v>
      </c>
      <c r="J21" s="141">
        <f>Cotizador!H45</f>
        <v>178.26669061675702</v>
      </c>
      <c r="K21" s="141">
        <f>Cotizador!I45</f>
        <v>45489.771921171734</v>
      </c>
    </row>
    <row r="22" spans="2:11" x14ac:dyDescent="0.25">
      <c r="B22" s="139">
        <f>Cotizador!B46</f>
        <v>11</v>
      </c>
      <c r="C22" s="140">
        <f>Cotizador!C46</f>
        <v>45643</v>
      </c>
      <c r="D22" s="141">
        <f>Cotizador!N46</f>
        <v>84069.596887324878</v>
      </c>
      <c r="E22" s="141">
        <f>Cotizador!X46</f>
        <v>0</v>
      </c>
      <c r="F22" s="141">
        <f>Cotizador!AR46</f>
        <v>5294.1562238488805</v>
      </c>
      <c r="G22" s="141">
        <f>Cotizador!AH46</f>
        <v>138.92643719373689</v>
      </c>
      <c r="H22" s="141">
        <f>Cotizador!E46</f>
        <v>44565.649567651912</v>
      </c>
      <c r="I22" s="141">
        <f>Cotizador!F46</f>
        <v>745.85566290306235</v>
      </c>
      <c r="J22" s="141">
        <f>Cotizador!H46</f>
        <v>119.33690606448998</v>
      </c>
      <c r="K22" s="141">
        <f>Cotizador!I46</f>
        <v>45430.842136619467</v>
      </c>
    </row>
    <row r="23" spans="2:11" x14ac:dyDescent="0.25">
      <c r="B23" s="139">
        <f>Cotizador!B47</f>
        <v>12</v>
      </c>
      <c r="C23" s="140">
        <f>Cotizador!C47</f>
        <v>45674</v>
      </c>
      <c r="D23" s="141">
        <f>Cotizador!N47</f>
        <v>42209.216694465969</v>
      </c>
      <c r="E23" s="141">
        <f>Cotizador!X47</f>
        <v>0</v>
      </c>
      <c r="F23" s="141">
        <f>Cotizador!AR47</f>
        <v>2658.0618385299335</v>
      </c>
      <c r="G23" s="141">
        <f>Cotizador!AH47</f>
        <v>69.751447719677017</v>
      </c>
      <c r="H23" s="141">
        <f>Cotizador!E47</f>
        <v>44937.029980715677</v>
      </c>
      <c r="I23" s="141">
        <f>Cotizador!F47</f>
        <v>374.47524983929645</v>
      </c>
      <c r="J23" s="141">
        <f>Cotizador!H47</f>
        <v>59.916039974287436</v>
      </c>
      <c r="K23" s="141">
        <f>Cotizador!I47</f>
        <v>45371.421270529267</v>
      </c>
    </row>
    <row r="24" spans="2:11" x14ac:dyDescent="0.25">
      <c r="B24" s="139" t="str">
        <f>Cotizador!B48</f>
        <v/>
      </c>
      <c r="C24" s="140" t="str">
        <f>Cotizador!C48</f>
        <v/>
      </c>
      <c r="D24" s="141" t="str">
        <f>Cotizador!N48</f>
        <v/>
      </c>
      <c r="E24" s="141" t="str">
        <f>Cotizador!X48</f>
        <v/>
      </c>
      <c r="F24" s="141" t="str">
        <f>Cotizador!AR48</f>
        <v/>
      </c>
      <c r="G24" s="141" t="str">
        <f>Cotizador!AH48</f>
        <v/>
      </c>
      <c r="H24" s="141" t="str">
        <f>Cotizador!E48</f>
        <v/>
      </c>
      <c r="I24" s="141" t="str">
        <f>Cotizador!F48</f>
        <v/>
      </c>
      <c r="J24" s="141" t="str">
        <f>Cotizador!H48</f>
        <v/>
      </c>
      <c r="K24" s="141" t="str">
        <f>Cotizador!I48</f>
        <v/>
      </c>
    </row>
    <row r="25" spans="2:11" x14ac:dyDescent="0.25">
      <c r="B25" s="139" t="str">
        <f>Cotizador!B49</f>
        <v/>
      </c>
      <c r="C25" s="140" t="str">
        <f>Cotizador!C49</f>
        <v/>
      </c>
      <c r="D25" s="141" t="str">
        <f>Cotizador!N49</f>
        <v/>
      </c>
      <c r="E25" s="141" t="str">
        <f>Cotizador!X49</f>
        <v/>
      </c>
      <c r="F25" s="141" t="str">
        <f>Cotizador!AR49</f>
        <v/>
      </c>
      <c r="G25" s="141" t="str">
        <f>Cotizador!AH49</f>
        <v/>
      </c>
      <c r="H25" s="141" t="str">
        <f>Cotizador!E49</f>
        <v/>
      </c>
      <c r="I25" s="141" t="str">
        <f>Cotizador!F49</f>
        <v/>
      </c>
      <c r="J25" s="141" t="str">
        <f>Cotizador!H49</f>
        <v/>
      </c>
      <c r="K25" s="141" t="str">
        <f>Cotizador!I49</f>
        <v/>
      </c>
    </row>
    <row r="26" spans="2:11" x14ac:dyDescent="0.25">
      <c r="B26" s="139" t="str">
        <f>Cotizador!B50</f>
        <v/>
      </c>
      <c r="C26" s="140" t="str">
        <f>Cotizador!C50</f>
        <v/>
      </c>
      <c r="D26" s="141" t="str">
        <f>Cotizador!N50</f>
        <v/>
      </c>
      <c r="E26" s="141" t="str">
        <f>Cotizador!X50</f>
        <v/>
      </c>
      <c r="F26" s="141" t="str">
        <f>Cotizador!AR50</f>
        <v/>
      </c>
      <c r="G26" s="141" t="str">
        <f>Cotizador!AH50</f>
        <v/>
      </c>
      <c r="H26" s="141" t="str">
        <f>Cotizador!E50</f>
        <v/>
      </c>
      <c r="I26" s="141" t="str">
        <f>Cotizador!F50</f>
        <v/>
      </c>
      <c r="J26" s="141" t="str">
        <f>Cotizador!H50</f>
        <v/>
      </c>
      <c r="K26" s="141" t="str">
        <f>Cotizador!I50</f>
        <v/>
      </c>
    </row>
    <row r="27" spans="2:11" x14ac:dyDescent="0.25">
      <c r="B27" s="139" t="str">
        <f>Cotizador!B51</f>
        <v/>
      </c>
      <c r="C27" s="140" t="str">
        <f>Cotizador!C51</f>
        <v/>
      </c>
      <c r="D27" s="141" t="str">
        <f>Cotizador!N51</f>
        <v/>
      </c>
      <c r="E27" s="141" t="str">
        <f>Cotizador!X51</f>
        <v/>
      </c>
      <c r="F27" s="141" t="str">
        <f>Cotizador!AR51</f>
        <v/>
      </c>
      <c r="G27" s="141" t="str">
        <f>Cotizador!AH51</f>
        <v/>
      </c>
      <c r="H27" s="141" t="str">
        <f>Cotizador!E51</f>
        <v/>
      </c>
      <c r="I27" s="141" t="str">
        <f>Cotizador!F51</f>
        <v/>
      </c>
      <c r="J27" s="141" t="str">
        <f>Cotizador!H51</f>
        <v/>
      </c>
      <c r="K27" s="141" t="str">
        <f>Cotizador!I51</f>
        <v/>
      </c>
    </row>
    <row r="28" spans="2:11" x14ac:dyDescent="0.25">
      <c r="B28" s="139" t="str">
        <f>Cotizador!B52</f>
        <v/>
      </c>
      <c r="C28" s="140" t="str">
        <f>Cotizador!C52</f>
        <v/>
      </c>
      <c r="D28" s="141" t="str">
        <f>Cotizador!N52</f>
        <v/>
      </c>
      <c r="E28" s="141" t="str">
        <f>Cotizador!X52</f>
        <v/>
      </c>
      <c r="F28" s="141" t="str">
        <f>Cotizador!AR52</f>
        <v/>
      </c>
      <c r="G28" s="141" t="str">
        <f>Cotizador!AH52</f>
        <v/>
      </c>
      <c r="H28" s="141" t="str">
        <f>Cotizador!E52</f>
        <v/>
      </c>
      <c r="I28" s="141" t="str">
        <f>Cotizador!F52</f>
        <v/>
      </c>
      <c r="J28" s="141" t="str">
        <f>Cotizador!H52</f>
        <v/>
      </c>
      <c r="K28" s="141" t="str">
        <f>Cotizador!I52</f>
        <v/>
      </c>
    </row>
    <row r="29" spans="2:11" x14ac:dyDescent="0.25">
      <c r="B29" s="139" t="str">
        <f>Cotizador!B53</f>
        <v/>
      </c>
      <c r="C29" s="140" t="str">
        <f>Cotizador!C53</f>
        <v/>
      </c>
      <c r="D29" s="141" t="str">
        <f>Cotizador!N53</f>
        <v/>
      </c>
      <c r="E29" s="141" t="str">
        <f>Cotizador!X53</f>
        <v/>
      </c>
      <c r="F29" s="141" t="str">
        <f>Cotizador!AR53</f>
        <v/>
      </c>
      <c r="G29" s="141" t="str">
        <f>Cotizador!AH53</f>
        <v/>
      </c>
      <c r="H29" s="141" t="str">
        <f>Cotizador!E53</f>
        <v/>
      </c>
      <c r="I29" s="141" t="str">
        <f>Cotizador!F53</f>
        <v/>
      </c>
      <c r="J29" s="141" t="str">
        <f>Cotizador!H53</f>
        <v/>
      </c>
      <c r="K29" s="141" t="str">
        <f>Cotizador!I53</f>
        <v/>
      </c>
    </row>
    <row r="30" spans="2:11" x14ac:dyDescent="0.25">
      <c r="B30" s="139" t="str">
        <f>Cotizador!B54</f>
        <v/>
      </c>
      <c r="C30" s="140" t="str">
        <f>Cotizador!C54</f>
        <v/>
      </c>
      <c r="D30" s="141" t="str">
        <f>Cotizador!N54</f>
        <v/>
      </c>
      <c r="E30" s="141" t="str">
        <f>Cotizador!X54</f>
        <v/>
      </c>
      <c r="F30" s="141" t="str">
        <f>Cotizador!AR54</f>
        <v/>
      </c>
      <c r="G30" s="141" t="str">
        <f>Cotizador!AH54</f>
        <v/>
      </c>
      <c r="H30" s="141" t="str">
        <f>Cotizador!E54</f>
        <v/>
      </c>
      <c r="I30" s="141" t="str">
        <f>Cotizador!F54</f>
        <v/>
      </c>
      <c r="J30" s="141" t="str">
        <f>Cotizador!H54</f>
        <v/>
      </c>
      <c r="K30" s="141" t="str">
        <f>Cotizador!I54</f>
        <v/>
      </c>
    </row>
    <row r="31" spans="2:11" x14ac:dyDescent="0.25">
      <c r="B31" s="139" t="str">
        <f>Cotizador!B55</f>
        <v/>
      </c>
      <c r="C31" s="140" t="str">
        <f>Cotizador!C55</f>
        <v/>
      </c>
      <c r="D31" s="141" t="str">
        <f>Cotizador!N55</f>
        <v/>
      </c>
      <c r="E31" s="141" t="str">
        <f>Cotizador!X55</f>
        <v/>
      </c>
      <c r="F31" s="141" t="str">
        <f>Cotizador!AR55</f>
        <v/>
      </c>
      <c r="G31" s="141" t="str">
        <f>Cotizador!AH55</f>
        <v/>
      </c>
      <c r="H31" s="141" t="str">
        <f>Cotizador!E55</f>
        <v/>
      </c>
      <c r="I31" s="141" t="str">
        <f>Cotizador!F55</f>
        <v/>
      </c>
      <c r="J31" s="141" t="str">
        <f>Cotizador!H55</f>
        <v/>
      </c>
      <c r="K31" s="141" t="str">
        <f>Cotizador!I55</f>
        <v/>
      </c>
    </row>
    <row r="32" spans="2:11" x14ac:dyDescent="0.25">
      <c r="B32" s="139" t="str">
        <f>Cotizador!B56</f>
        <v/>
      </c>
      <c r="C32" s="140" t="str">
        <f>Cotizador!C56</f>
        <v/>
      </c>
      <c r="D32" s="141" t="str">
        <f>Cotizador!N56</f>
        <v/>
      </c>
      <c r="E32" s="141" t="str">
        <f>Cotizador!X56</f>
        <v/>
      </c>
      <c r="F32" s="141" t="str">
        <f>Cotizador!AR56</f>
        <v/>
      </c>
      <c r="G32" s="141" t="str">
        <f>Cotizador!AH56</f>
        <v/>
      </c>
      <c r="H32" s="141" t="str">
        <f>Cotizador!E56</f>
        <v/>
      </c>
      <c r="I32" s="141" t="str">
        <f>Cotizador!F56</f>
        <v/>
      </c>
      <c r="J32" s="141" t="str">
        <f>Cotizador!H56</f>
        <v/>
      </c>
      <c r="K32" s="141" t="str">
        <f>Cotizador!I56</f>
        <v/>
      </c>
    </row>
    <row r="33" spans="2:11" x14ac:dyDescent="0.25">
      <c r="B33" s="139" t="str">
        <f>Cotizador!B57</f>
        <v/>
      </c>
      <c r="C33" s="140" t="str">
        <f>Cotizador!C57</f>
        <v/>
      </c>
      <c r="D33" s="141" t="str">
        <f>Cotizador!N57</f>
        <v/>
      </c>
      <c r="E33" s="141" t="str">
        <f>Cotizador!X57</f>
        <v/>
      </c>
      <c r="F33" s="141" t="str">
        <f>Cotizador!AR57</f>
        <v/>
      </c>
      <c r="G33" s="141" t="str">
        <f>Cotizador!AH57</f>
        <v/>
      </c>
      <c r="H33" s="141" t="str">
        <f>Cotizador!E57</f>
        <v/>
      </c>
      <c r="I33" s="141" t="str">
        <f>Cotizador!F57</f>
        <v/>
      </c>
      <c r="J33" s="141" t="str">
        <f>Cotizador!H57</f>
        <v/>
      </c>
      <c r="K33" s="141" t="str">
        <f>Cotizador!I57</f>
        <v/>
      </c>
    </row>
    <row r="34" spans="2:11" x14ac:dyDescent="0.25">
      <c r="B34" s="139" t="str">
        <f>Cotizador!B58</f>
        <v/>
      </c>
      <c r="C34" s="140" t="str">
        <f>Cotizador!C58</f>
        <v/>
      </c>
      <c r="D34" s="141" t="str">
        <f>Cotizador!N58</f>
        <v/>
      </c>
      <c r="E34" s="141" t="str">
        <f>Cotizador!X58</f>
        <v/>
      </c>
      <c r="F34" s="141" t="str">
        <f>Cotizador!AR58</f>
        <v/>
      </c>
      <c r="G34" s="141" t="str">
        <f>Cotizador!AH58</f>
        <v/>
      </c>
      <c r="H34" s="141" t="str">
        <f>Cotizador!E58</f>
        <v/>
      </c>
      <c r="I34" s="141" t="str">
        <f>Cotizador!F58</f>
        <v/>
      </c>
      <c r="J34" s="141" t="str">
        <f>Cotizador!H58</f>
        <v/>
      </c>
      <c r="K34" s="141" t="str">
        <f>Cotizador!I58</f>
        <v/>
      </c>
    </row>
    <row r="35" spans="2:11" x14ac:dyDescent="0.25">
      <c r="B35" s="139" t="str">
        <f>Cotizador!B59</f>
        <v/>
      </c>
      <c r="C35" s="140" t="str">
        <f>Cotizador!C59</f>
        <v/>
      </c>
      <c r="D35" s="141" t="str">
        <f>Cotizador!N59</f>
        <v/>
      </c>
      <c r="E35" s="141" t="str">
        <f>Cotizador!X59</f>
        <v/>
      </c>
      <c r="F35" s="141" t="str">
        <f>Cotizador!AR59</f>
        <v/>
      </c>
      <c r="G35" s="141" t="str">
        <f>Cotizador!AH59</f>
        <v/>
      </c>
      <c r="H35" s="141" t="str">
        <f>Cotizador!E59</f>
        <v/>
      </c>
      <c r="I35" s="141" t="str">
        <f>Cotizador!F59</f>
        <v/>
      </c>
      <c r="J35" s="141" t="str">
        <f>Cotizador!H59</f>
        <v/>
      </c>
      <c r="K35" s="141" t="str">
        <f>Cotizador!I59</f>
        <v/>
      </c>
    </row>
    <row r="36" spans="2:11" x14ac:dyDescent="0.25">
      <c r="B36" s="139" t="str">
        <f>Cotizador!B60</f>
        <v/>
      </c>
      <c r="C36" s="140" t="str">
        <f>Cotizador!C60</f>
        <v/>
      </c>
      <c r="D36" s="141" t="str">
        <f>Cotizador!N60</f>
        <v/>
      </c>
      <c r="E36" s="141" t="str">
        <f>Cotizador!X60</f>
        <v/>
      </c>
      <c r="F36" s="141" t="str">
        <f>Cotizador!AR60</f>
        <v/>
      </c>
      <c r="G36" s="141" t="str">
        <f>Cotizador!AH60</f>
        <v/>
      </c>
      <c r="H36" s="141" t="str">
        <f>Cotizador!E60</f>
        <v/>
      </c>
      <c r="I36" s="141" t="str">
        <f>Cotizador!F60</f>
        <v/>
      </c>
      <c r="J36" s="141" t="str">
        <f>Cotizador!H60</f>
        <v/>
      </c>
      <c r="K36" s="141" t="str">
        <f>Cotizador!I60</f>
        <v/>
      </c>
    </row>
    <row r="37" spans="2:11" x14ac:dyDescent="0.25">
      <c r="B37" s="139" t="str">
        <f>Cotizador!B61</f>
        <v/>
      </c>
      <c r="C37" s="140" t="str">
        <f>Cotizador!C61</f>
        <v/>
      </c>
      <c r="D37" s="141" t="str">
        <f>Cotizador!N61</f>
        <v/>
      </c>
      <c r="E37" s="141" t="str">
        <f>Cotizador!X61</f>
        <v/>
      </c>
      <c r="F37" s="141" t="str">
        <f>Cotizador!AR61</f>
        <v/>
      </c>
      <c r="G37" s="141" t="str">
        <f>Cotizador!AH61</f>
        <v/>
      </c>
      <c r="H37" s="141" t="str">
        <f>Cotizador!E61</f>
        <v/>
      </c>
      <c r="I37" s="141" t="str">
        <f>Cotizador!F61</f>
        <v/>
      </c>
      <c r="J37" s="141" t="str">
        <f>Cotizador!H61</f>
        <v/>
      </c>
      <c r="K37" s="141" t="str">
        <f>Cotizador!I61</f>
        <v/>
      </c>
    </row>
    <row r="38" spans="2:11" x14ac:dyDescent="0.25">
      <c r="B38" s="139" t="str">
        <f>Cotizador!B62</f>
        <v/>
      </c>
      <c r="C38" s="140" t="str">
        <f>Cotizador!C62</f>
        <v/>
      </c>
      <c r="D38" s="141" t="str">
        <f>Cotizador!N62</f>
        <v/>
      </c>
      <c r="E38" s="141" t="str">
        <f>Cotizador!X62</f>
        <v/>
      </c>
      <c r="F38" s="141" t="str">
        <f>Cotizador!AR62</f>
        <v/>
      </c>
      <c r="G38" s="141" t="str">
        <f>Cotizador!AH62</f>
        <v/>
      </c>
      <c r="H38" s="141" t="str">
        <f>Cotizador!E62</f>
        <v/>
      </c>
      <c r="I38" s="141" t="str">
        <f>Cotizador!F62</f>
        <v/>
      </c>
      <c r="J38" s="141" t="str">
        <f>Cotizador!H62</f>
        <v/>
      </c>
      <c r="K38" s="141" t="str">
        <f>Cotizador!I62</f>
        <v/>
      </c>
    </row>
    <row r="39" spans="2:11" x14ac:dyDescent="0.25">
      <c r="B39" s="139" t="str">
        <f>Cotizador!B63</f>
        <v/>
      </c>
      <c r="C39" s="140" t="str">
        <f>Cotizador!C63</f>
        <v/>
      </c>
      <c r="D39" s="141" t="str">
        <f>Cotizador!N63</f>
        <v/>
      </c>
      <c r="E39" s="141" t="str">
        <f>Cotizador!X63</f>
        <v/>
      </c>
      <c r="F39" s="141" t="str">
        <f>Cotizador!AR63</f>
        <v/>
      </c>
      <c r="G39" s="141" t="str">
        <f>Cotizador!AH63</f>
        <v/>
      </c>
      <c r="H39" s="141" t="str">
        <f>Cotizador!E63</f>
        <v/>
      </c>
      <c r="I39" s="141" t="str">
        <f>Cotizador!F63</f>
        <v/>
      </c>
      <c r="J39" s="141" t="str">
        <f>Cotizador!H63</f>
        <v/>
      </c>
      <c r="K39" s="141" t="str">
        <f>Cotizador!I63</f>
        <v/>
      </c>
    </row>
    <row r="40" spans="2:11" x14ac:dyDescent="0.25">
      <c r="B40" s="139" t="str">
        <f>Cotizador!B64</f>
        <v/>
      </c>
      <c r="C40" s="140" t="str">
        <f>Cotizador!C64</f>
        <v/>
      </c>
      <c r="D40" s="141" t="str">
        <f>Cotizador!N64</f>
        <v/>
      </c>
      <c r="E40" s="141" t="str">
        <f>Cotizador!X64</f>
        <v/>
      </c>
      <c r="F40" s="141" t="str">
        <f>Cotizador!AR64</f>
        <v/>
      </c>
      <c r="G40" s="141" t="str">
        <f>Cotizador!AH64</f>
        <v/>
      </c>
      <c r="H40" s="141" t="str">
        <f>Cotizador!E64</f>
        <v/>
      </c>
      <c r="I40" s="141" t="str">
        <f>Cotizador!F64</f>
        <v/>
      </c>
      <c r="J40" s="141" t="str">
        <f>Cotizador!H64</f>
        <v/>
      </c>
      <c r="K40" s="141" t="str">
        <f>Cotizador!I64</f>
        <v/>
      </c>
    </row>
    <row r="41" spans="2:11" x14ac:dyDescent="0.25">
      <c r="B41" s="139" t="str">
        <f>Cotizador!B65</f>
        <v/>
      </c>
      <c r="C41" s="140" t="str">
        <f>Cotizador!C65</f>
        <v/>
      </c>
      <c r="D41" s="141" t="str">
        <f>Cotizador!N65</f>
        <v/>
      </c>
      <c r="E41" s="141" t="str">
        <f>Cotizador!X65</f>
        <v/>
      </c>
      <c r="F41" s="141" t="str">
        <f>Cotizador!AR65</f>
        <v/>
      </c>
      <c r="G41" s="141" t="str">
        <f>Cotizador!AH65</f>
        <v/>
      </c>
      <c r="H41" s="141" t="str">
        <f>Cotizador!E65</f>
        <v/>
      </c>
      <c r="I41" s="141" t="str">
        <f>Cotizador!F65</f>
        <v/>
      </c>
      <c r="J41" s="141" t="str">
        <f>Cotizador!H65</f>
        <v/>
      </c>
      <c r="K41" s="141" t="str">
        <f>Cotizador!I65</f>
        <v/>
      </c>
    </row>
    <row r="42" spans="2:11" x14ac:dyDescent="0.25">
      <c r="B42" s="139" t="str">
        <f>Cotizador!B66</f>
        <v/>
      </c>
      <c r="C42" s="140" t="str">
        <f>Cotizador!C66</f>
        <v/>
      </c>
      <c r="D42" s="141" t="str">
        <f>Cotizador!N66</f>
        <v/>
      </c>
      <c r="E42" s="141" t="str">
        <f>Cotizador!X66</f>
        <v/>
      </c>
      <c r="F42" s="141" t="str">
        <f>Cotizador!AR66</f>
        <v/>
      </c>
      <c r="G42" s="141" t="str">
        <f>Cotizador!AH66</f>
        <v/>
      </c>
      <c r="H42" s="141" t="str">
        <f>Cotizador!E66</f>
        <v/>
      </c>
      <c r="I42" s="141" t="str">
        <f>Cotizador!F66</f>
        <v/>
      </c>
      <c r="J42" s="141" t="str">
        <f>Cotizador!H66</f>
        <v/>
      </c>
      <c r="K42" s="141" t="str">
        <f>Cotizador!I66</f>
        <v/>
      </c>
    </row>
    <row r="43" spans="2:11" x14ac:dyDescent="0.25">
      <c r="B43" s="139" t="str">
        <f>Cotizador!B67</f>
        <v/>
      </c>
      <c r="C43" s="140" t="str">
        <f>Cotizador!C67</f>
        <v/>
      </c>
      <c r="D43" s="141" t="str">
        <f>Cotizador!N67</f>
        <v/>
      </c>
      <c r="E43" s="141" t="str">
        <f>Cotizador!X67</f>
        <v/>
      </c>
      <c r="F43" s="141" t="str">
        <f>Cotizador!AR67</f>
        <v/>
      </c>
      <c r="G43" s="141" t="str">
        <f>Cotizador!AH67</f>
        <v/>
      </c>
      <c r="H43" s="141" t="str">
        <f>Cotizador!E67</f>
        <v/>
      </c>
      <c r="I43" s="141" t="str">
        <f>Cotizador!F67</f>
        <v/>
      </c>
      <c r="J43" s="141" t="str">
        <f>Cotizador!H67</f>
        <v/>
      </c>
      <c r="K43" s="141" t="str">
        <f>Cotizador!I67</f>
        <v/>
      </c>
    </row>
    <row r="44" spans="2:11" x14ac:dyDescent="0.25">
      <c r="B44" s="139" t="str">
        <f>Cotizador!B68</f>
        <v/>
      </c>
      <c r="C44" s="140" t="str">
        <f>Cotizador!C68</f>
        <v/>
      </c>
      <c r="D44" s="141" t="str">
        <f>Cotizador!N68</f>
        <v/>
      </c>
      <c r="E44" s="141" t="str">
        <f>Cotizador!X68</f>
        <v/>
      </c>
      <c r="F44" s="141" t="str">
        <f>Cotizador!AR68</f>
        <v/>
      </c>
      <c r="G44" s="141" t="str">
        <f>Cotizador!AH68</f>
        <v/>
      </c>
      <c r="H44" s="141" t="str">
        <f>Cotizador!E68</f>
        <v/>
      </c>
      <c r="I44" s="141" t="str">
        <f>Cotizador!F68</f>
        <v/>
      </c>
      <c r="J44" s="141" t="str">
        <f>Cotizador!H68</f>
        <v/>
      </c>
      <c r="K44" s="141" t="str">
        <f>Cotizador!I68</f>
        <v/>
      </c>
    </row>
    <row r="45" spans="2:11" x14ac:dyDescent="0.25">
      <c r="B45" s="139" t="str">
        <f>Cotizador!B69</f>
        <v/>
      </c>
      <c r="C45" s="140" t="str">
        <f>Cotizador!C69</f>
        <v/>
      </c>
      <c r="D45" s="141" t="str">
        <f>Cotizador!N69</f>
        <v/>
      </c>
      <c r="E45" s="141" t="str">
        <f>Cotizador!X69</f>
        <v/>
      </c>
      <c r="F45" s="141" t="str">
        <f>Cotizador!AR69</f>
        <v/>
      </c>
      <c r="G45" s="141" t="str">
        <f>Cotizador!AH69</f>
        <v/>
      </c>
      <c r="H45" s="141" t="str">
        <f>Cotizador!E69</f>
        <v/>
      </c>
      <c r="I45" s="141" t="str">
        <f>Cotizador!F69</f>
        <v/>
      </c>
      <c r="J45" s="141" t="str">
        <f>Cotizador!H69</f>
        <v/>
      </c>
      <c r="K45" s="141" t="str">
        <f>Cotizador!I69</f>
        <v/>
      </c>
    </row>
    <row r="46" spans="2:11" x14ac:dyDescent="0.25">
      <c r="B46" s="139" t="str">
        <f>Cotizador!B70</f>
        <v/>
      </c>
      <c r="C46" s="140" t="str">
        <f>Cotizador!C70</f>
        <v/>
      </c>
      <c r="D46" s="141" t="str">
        <f>Cotizador!N70</f>
        <v/>
      </c>
      <c r="E46" s="141" t="str">
        <f>Cotizador!X70</f>
        <v/>
      </c>
      <c r="F46" s="141" t="str">
        <f>Cotizador!AR70</f>
        <v/>
      </c>
      <c r="G46" s="141" t="str">
        <f>Cotizador!AH70</f>
        <v/>
      </c>
      <c r="H46" s="141" t="str">
        <f>Cotizador!E70</f>
        <v/>
      </c>
      <c r="I46" s="141" t="str">
        <f>Cotizador!F70</f>
        <v/>
      </c>
      <c r="J46" s="141" t="str">
        <f>Cotizador!H70</f>
        <v/>
      </c>
      <c r="K46" s="141" t="str">
        <f>Cotizador!I70</f>
        <v/>
      </c>
    </row>
    <row r="47" spans="2:11" x14ac:dyDescent="0.25">
      <c r="B47" s="139" t="str">
        <f>Cotizador!B71</f>
        <v/>
      </c>
      <c r="C47" s="140" t="str">
        <f>Cotizador!C71</f>
        <v/>
      </c>
      <c r="D47" s="141" t="str">
        <f>Cotizador!N71</f>
        <v/>
      </c>
      <c r="E47" s="141" t="str">
        <f>Cotizador!X71</f>
        <v/>
      </c>
      <c r="F47" s="141" t="str">
        <f>Cotizador!AR71</f>
        <v/>
      </c>
      <c r="G47" s="141" t="str">
        <f>Cotizador!AH71</f>
        <v/>
      </c>
      <c r="H47" s="141" t="str">
        <f>Cotizador!E71</f>
        <v/>
      </c>
      <c r="I47" s="141" t="str">
        <f>Cotizador!F71</f>
        <v/>
      </c>
      <c r="J47" s="141" t="str">
        <f>Cotizador!H71</f>
        <v/>
      </c>
      <c r="K47" s="141" t="str">
        <f>Cotizador!I71</f>
        <v/>
      </c>
    </row>
    <row r="48" spans="2:11" x14ac:dyDescent="0.25">
      <c r="B48" s="139" t="str">
        <f>Cotizador!B72</f>
        <v/>
      </c>
      <c r="C48" s="140" t="str">
        <f>Cotizador!C72</f>
        <v/>
      </c>
      <c r="D48" s="141" t="str">
        <f>Cotizador!N72</f>
        <v/>
      </c>
      <c r="E48" s="141" t="str">
        <f>Cotizador!X72</f>
        <v/>
      </c>
      <c r="F48" s="141" t="str">
        <f>Cotizador!AR72</f>
        <v/>
      </c>
      <c r="G48" s="141" t="str">
        <f>Cotizador!AH72</f>
        <v/>
      </c>
      <c r="H48" s="141" t="str">
        <f>Cotizador!E72</f>
        <v/>
      </c>
      <c r="I48" s="141" t="str">
        <f>Cotizador!F72</f>
        <v/>
      </c>
      <c r="J48" s="141" t="str">
        <f>Cotizador!H72</f>
        <v/>
      </c>
      <c r="K48" s="141" t="str">
        <f>Cotizador!I72</f>
        <v/>
      </c>
    </row>
    <row r="49" spans="2:11" x14ac:dyDescent="0.25">
      <c r="B49" s="139" t="str">
        <f>Cotizador!B73</f>
        <v/>
      </c>
      <c r="C49" s="140" t="str">
        <f>Cotizador!C73</f>
        <v/>
      </c>
      <c r="D49" s="141" t="str">
        <f>Cotizador!N73</f>
        <v/>
      </c>
      <c r="E49" s="141" t="str">
        <f>Cotizador!X73</f>
        <v/>
      </c>
      <c r="F49" s="141" t="str">
        <f>Cotizador!AR73</f>
        <v/>
      </c>
      <c r="G49" s="141" t="str">
        <f>Cotizador!AH73</f>
        <v/>
      </c>
      <c r="H49" s="141" t="str">
        <f>Cotizador!E73</f>
        <v/>
      </c>
      <c r="I49" s="141" t="str">
        <f>Cotizador!F73</f>
        <v/>
      </c>
      <c r="J49" s="141" t="str">
        <f>Cotizador!H73</f>
        <v/>
      </c>
      <c r="K49" s="141" t="str">
        <f>Cotizador!I73</f>
        <v/>
      </c>
    </row>
    <row r="50" spans="2:11" x14ac:dyDescent="0.25">
      <c r="B50" s="139" t="str">
        <f>Cotizador!B74</f>
        <v/>
      </c>
      <c r="C50" s="140" t="str">
        <f>Cotizador!C74</f>
        <v/>
      </c>
      <c r="D50" s="141" t="str">
        <f>Cotizador!N74</f>
        <v/>
      </c>
      <c r="E50" s="141" t="str">
        <f>Cotizador!X74</f>
        <v/>
      </c>
      <c r="F50" s="141" t="str">
        <f>Cotizador!AR74</f>
        <v/>
      </c>
      <c r="G50" s="141" t="str">
        <f>Cotizador!AH74</f>
        <v/>
      </c>
      <c r="H50" s="141" t="str">
        <f>Cotizador!E74</f>
        <v/>
      </c>
      <c r="I50" s="141" t="str">
        <f>Cotizador!F74</f>
        <v/>
      </c>
      <c r="J50" s="141" t="str">
        <f>Cotizador!H74</f>
        <v/>
      </c>
      <c r="K50" s="141" t="str">
        <f>Cotizador!I74</f>
        <v/>
      </c>
    </row>
    <row r="51" spans="2:11" x14ac:dyDescent="0.25">
      <c r="B51" s="139" t="str">
        <f>Cotizador!B75</f>
        <v/>
      </c>
      <c r="C51" s="140" t="str">
        <f>Cotizador!C75</f>
        <v/>
      </c>
      <c r="D51" s="141" t="str">
        <f>Cotizador!N75</f>
        <v/>
      </c>
      <c r="E51" s="141" t="str">
        <f>Cotizador!X75</f>
        <v/>
      </c>
      <c r="F51" s="141" t="str">
        <f>Cotizador!AR75</f>
        <v/>
      </c>
      <c r="G51" s="141" t="str">
        <f>Cotizador!AH75</f>
        <v/>
      </c>
      <c r="H51" s="141" t="str">
        <f>Cotizador!E75</f>
        <v/>
      </c>
      <c r="I51" s="141" t="str">
        <f>Cotizador!F75</f>
        <v/>
      </c>
      <c r="J51" s="141" t="str">
        <f>Cotizador!H75</f>
        <v/>
      </c>
      <c r="K51" s="141" t="str">
        <f>Cotizador!I75</f>
        <v/>
      </c>
    </row>
    <row r="52" spans="2:11" x14ac:dyDescent="0.25">
      <c r="B52" s="139" t="str">
        <f>Cotizador!B76</f>
        <v/>
      </c>
      <c r="C52" s="140" t="str">
        <f>Cotizador!C76</f>
        <v/>
      </c>
      <c r="D52" s="141" t="str">
        <f>Cotizador!N76</f>
        <v/>
      </c>
      <c r="E52" s="141" t="str">
        <f>Cotizador!X76</f>
        <v/>
      </c>
      <c r="F52" s="141" t="str">
        <f>Cotizador!AR76</f>
        <v/>
      </c>
      <c r="G52" s="141" t="str">
        <f>Cotizador!AH76</f>
        <v/>
      </c>
      <c r="H52" s="141" t="str">
        <f>Cotizador!E76</f>
        <v/>
      </c>
      <c r="I52" s="141" t="str">
        <f>Cotizador!F76</f>
        <v/>
      </c>
      <c r="J52" s="141" t="str">
        <f>Cotizador!H76</f>
        <v/>
      </c>
      <c r="K52" s="141" t="str">
        <f>Cotizador!I76</f>
        <v/>
      </c>
    </row>
    <row r="53" spans="2:11" x14ac:dyDescent="0.25">
      <c r="B53" s="139" t="str">
        <f>Cotizador!B77</f>
        <v/>
      </c>
      <c r="C53" s="140" t="str">
        <f>Cotizador!C77</f>
        <v/>
      </c>
      <c r="D53" s="141" t="str">
        <f>Cotizador!N77</f>
        <v/>
      </c>
      <c r="E53" s="141" t="str">
        <f>Cotizador!X77</f>
        <v/>
      </c>
      <c r="F53" s="141" t="str">
        <f>Cotizador!AR77</f>
        <v/>
      </c>
      <c r="G53" s="141" t="str">
        <f>Cotizador!AH77</f>
        <v/>
      </c>
      <c r="H53" s="141" t="str">
        <f>Cotizador!E77</f>
        <v/>
      </c>
      <c r="I53" s="141" t="str">
        <f>Cotizador!F77</f>
        <v/>
      </c>
      <c r="J53" s="141" t="str">
        <f>Cotizador!H77</f>
        <v/>
      </c>
      <c r="K53" s="141" t="str">
        <f>Cotizador!I77</f>
        <v/>
      </c>
    </row>
    <row r="54" spans="2:11" x14ac:dyDescent="0.25">
      <c r="B54" s="139" t="str">
        <f>Cotizador!B78</f>
        <v/>
      </c>
      <c r="C54" s="140" t="str">
        <f>Cotizador!C78</f>
        <v/>
      </c>
      <c r="D54" s="141" t="str">
        <f>Cotizador!N78</f>
        <v/>
      </c>
      <c r="E54" s="141" t="str">
        <f>Cotizador!X78</f>
        <v/>
      </c>
      <c r="F54" s="141" t="str">
        <f>Cotizador!AR78</f>
        <v/>
      </c>
      <c r="G54" s="141" t="str">
        <f>Cotizador!AH78</f>
        <v/>
      </c>
      <c r="H54" s="141" t="str">
        <f>Cotizador!E78</f>
        <v/>
      </c>
      <c r="I54" s="141" t="str">
        <f>Cotizador!F78</f>
        <v/>
      </c>
      <c r="J54" s="141" t="str">
        <f>Cotizador!H78</f>
        <v/>
      </c>
      <c r="K54" s="141" t="str">
        <f>Cotizador!I78</f>
        <v/>
      </c>
    </row>
    <row r="55" spans="2:11" x14ac:dyDescent="0.25">
      <c r="B55" s="139" t="str">
        <f>Cotizador!B79</f>
        <v/>
      </c>
      <c r="C55" s="140" t="str">
        <f>Cotizador!C79</f>
        <v/>
      </c>
      <c r="D55" s="141" t="str">
        <f>Cotizador!N79</f>
        <v/>
      </c>
      <c r="E55" s="141" t="str">
        <f>Cotizador!X79</f>
        <v/>
      </c>
      <c r="F55" s="141" t="str">
        <f>Cotizador!AR79</f>
        <v/>
      </c>
      <c r="G55" s="141" t="str">
        <f>Cotizador!AH79</f>
        <v/>
      </c>
      <c r="H55" s="141" t="str">
        <f>Cotizador!E79</f>
        <v/>
      </c>
      <c r="I55" s="141" t="str">
        <f>Cotizador!F79</f>
        <v/>
      </c>
      <c r="J55" s="141" t="str">
        <f>Cotizador!H79</f>
        <v/>
      </c>
      <c r="K55" s="141" t="str">
        <f>Cotizador!I79</f>
        <v/>
      </c>
    </row>
    <row r="56" spans="2:11" x14ac:dyDescent="0.25">
      <c r="B56" s="139" t="str">
        <f>Cotizador!B80</f>
        <v/>
      </c>
      <c r="C56" s="140" t="str">
        <f>Cotizador!C80</f>
        <v/>
      </c>
      <c r="D56" s="141" t="str">
        <f>Cotizador!N80</f>
        <v/>
      </c>
      <c r="E56" s="141" t="str">
        <f>Cotizador!X80</f>
        <v/>
      </c>
      <c r="F56" s="141" t="str">
        <f>Cotizador!AR80</f>
        <v/>
      </c>
      <c r="G56" s="141" t="str">
        <f>Cotizador!AH80</f>
        <v/>
      </c>
      <c r="H56" s="141" t="str">
        <f>Cotizador!E80</f>
        <v/>
      </c>
      <c r="I56" s="141" t="str">
        <f>Cotizador!F80</f>
        <v/>
      </c>
      <c r="J56" s="141" t="str">
        <f>Cotizador!H80</f>
        <v/>
      </c>
      <c r="K56" s="141" t="str">
        <f>Cotizador!I80</f>
        <v/>
      </c>
    </row>
    <row r="57" spans="2:11" x14ac:dyDescent="0.25">
      <c r="B57" s="139" t="str">
        <f>Cotizador!B81</f>
        <v/>
      </c>
      <c r="C57" s="140" t="str">
        <f>Cotizador!C81</f>
        <v/>
      </c>
      <c r="D57" s="141" t="str">
        <f>Cotizador!N81</f>
        <v/>
      </c>
      <c r="E57" s="141" t="str">
        <f>Cotizador!X81</f>
        <v/>
      </c>
      <c r="F57" s="141" t="str">
        <f>Cotizador!AR81</f>
        <v/>
      </c>
      <c r="G57" s="141" t="str">
        <f>Cotizador!AH81</f>
        <v/>
      </c>
      <c r="H57" s="141" t="str">
        <f>Cotizador!E81</f>
        <v/>
      </c>
      <c r="I57" s="141" t="str">
        <f>Cotizador!F81</f>
        <v/>
      </c>
      <c r="J57" s="141" t="str">
        <f>Cotizador!H81</f>
        <v/>
      </c>
      <c r="K57" s="141" t="str">
        <f>Cotizador!I81</f>
        <v/>
      </c>
    </row>
    <row r="58" spans="2:11" x14ac:dyDescent="0.25">
      <c r="B58" s="139" t="str">
        <f>Cotizador!B82</f>
        <v/>
      </c>
      <c r="C58" s="140" t="str">
        <f>Cotizador!C82</f>
        <v/>
      </c>
      <c r="D58" s="141" t="str">
        <f>Cotizador!N82</f>
        <v/>
      </c>
      <c r="E58" s="141" t="str">
        <f>Cotizador!X82</f>
        <v/>
      </c>
      <c r="F58" s="141" t="str">
        <f>Cotizador!AR82</f>
        <v/>
      </c>
      <c r="G58" s="141" t="str">
        <f>Cotizador!AH82</f>
        <v/>
      </c>
      <c r="H58" s="141" t="str">
        <f>Cotizador!E82</f>
        <v/>
      </c>
      <c r="I58" s="141" t="str">
        <f>Cotizador!F82</f>
        <v/>
      </c>
      <c r="J58" s="141" t="str">
        <f>Cotizador!H82</f>
        <v/>
      </c>
      <c r="K58" s="141" t="str">
        <f>Cotizador!I82</f>
        <v/>
      </c>
    </row>
    <row r="59" spans="2:11" x14ac:dyDescent="0.25">
      <c r="B59" s="139" t="str">
        <f>Cotizador!B83</f>
        <v/>
      </c>
      <c r="C59" s="140" t="str">
        <f>Cotizador!C83</f>
        <v/>
      </c>
      <c r="D59" s="141" t="str">
        <f>Cotizador!N83</f>
        <v/>
      </c>
      <c r="E59" s="141" t="str">
        <f>Cotizador!X83</f>
        <v/>
      </c>
      <c r="F59" s="141" t="str">
        <f>Cotizador!AR83</f>
        <v/>
      </c>
      <c r="G59" s="141" t="str">
        <f>Cotizador!AH83</f>
        <v/>
      </c>
      <c r="H59" s="141" t="str">
        <f>Cotizador!E83</f>
        <v/>
      </c>
      <c r="I59" s="141" t="str">
        <f>Cotizador!F83</f>
        <v/>
      </c>
      <c r="J59" s="141" t="str">
        <f>Cotizador!H83</f>
        <v/>
      </c>
      <c r="K59" s="141" t="str">
        <f>Cotizador!I83</f>
        <v/>
      </c>
    </row>
    <row r="60" spans="2:11" x14ac:dyDescent="0.25">
      <c r="B60" s="139" t="str">
        <f>Cotizador!B84</f>
        <v/>
      </c>
      <c r="C60" s="140" t="str">
        <f>Cotizador!C84</f>
        <v/>
      </c>
      <c r="D60" s="141" t="str">
        <f>Cotizador!N84</f>
        <v/>
      </c>
      <c r="E60" s="141" t="str">
        <f>Cotizador!X84</f>
        <v/>
      </c>
      <c r="F60" s="141" t="str">
        <f>Cotizador!AR84</f>
        <v/>
      </c>
      <c r="G60" s="141" t="str">
        <f>Cotizador!AH84</f>
        <v/>
      </c>
      <c r="H60" s="141" t="str">
        <f>Cotizador!E84</f>
        <v/>
      </c>
      <c r="I60" s="141" t="str">
        <f>Cotizador!F84</f>
        <v/>
      </c>
      <c r="J60" s="141" t="str">
        <f>Cotizador!H84</f>
        <v/>
      </c>
      <c r="K60" s="141" t="str">
        <f>Cotizador!I84</f>
        <v/>
      </c>
    </row>
    <row r="61" spans="2:11" x14ac:dyDescent="0.25">
      <c r="B61" s="139" t="str">
        <f>Cotizador!B85</f>
        <v/>
      </c>
      <c r="C61" s="140" t="str">
        <f>Cotizador!C85</f>
        <v/>
      </c>
      <c r="D61" s="141" t="str">
        <f>Cotizador!N85</f>
        <v/>
      </c>
      <c r="E61" s="141" t="str">
        <f>Cotizador!X85</f>
        <v/>
      </c>
      <c r="F61" s="141" t="str">
        <f>Cotizador!AR85</f>
        <v/>
      </c>
      <c r="G61" s="141" t="str">
        <f>Cotizador!AH85</f>
        <v/>
      </c>
      <c r="H61" s="141" t="str">
        <f>Cotizador!E85</f>
        <v/>
      </c>
      <c r="I61" s="141" t="str">
        <f>Cotizador!F85</f>
        <v/>
      </c>
      <c r="J61" s="141" t="str">
        <f>Cotizador!H85</f>
        <v/>
      </c>
      <c r="K61" s="141" t="str">
        <f>Cotizador!I85</f>
        <v/>
      </c>
    </row>
    <row r="62" spans="2:11" x14ac:dyDescent="0.25">
      <c r="B62" s="139" t="str">
        <f>Cotizador!B86</f>
        <v/>
      </c>
      <c r="C62" s="140" t="str">
        <f>Cotizador!C86</f>
        <v/>
      </c>
      <c r="D62" s="141" t="str">
        <f>Cotizador!N86</f>
        <v/>
      </c>
      <c r="E62" s="141" t="str">
        <f>Cotizador!X86</f>
        <v/>
      </c>
      <c r="F62" s="141" t="str">
        <f>Cotizador!AR86</f>
        <v/>
      </c>
      <c r="G62" s="141" t="str">
        <f>Cotizador!AH86</f>
        <v/>
      </c>
      <c r="H62" s="141" t="str">
        <f>Cotizador!E86</f>
        <v/>
      </c>
      <c r="I62" s="141" t="str">
        <f>Cotizador!F86</f>
        <v/>
      </c>
      <c r="J62" s="141" t="str">
        <f>Cotizador!H86</f>
        <v/>
      </c>
      <c r="K62" s="141" t="str">
        <f>Cotizador!I86</f>
        <v/>
      </c>
    </row>
    <row r="63" spans="2:11" x14ac:dyDescent="0.25">
      <c r="B63" s="139" t="str">
        <f>Cotizador!B87</f>
        <v/>
      </c>
      <c r="C63" s="140" t="str">
        <f>Cotizador!C87</f>
        <v/>
      </c>
      <c r="D63" s="141" t="str">
        <f>Cotizador!N87</f>
        <v/>
      </c>
      <c r="E63" s="141" t="str">
        <f>Cotizador!X87</f>
        <v/>
      </c>
      <c r="F63" s="141" t="str">
        <f>Cotizador!AR87</f>
        <v/>
      </c>
      <c r="G63" s="141" t="str">
        <f>Cotizador!AH87</f>
        <v/>
      </c>
      <c r="H63" s="141" t="str">
        <f>Cotizador!E87</f>
        <v/>
      </c>
      <c r="I63" s="141" t="str">
        <f>Cotizador!F87</f>
        <v/>
      </c>
      <c r="J63" s="141" t="str">
        <f>Cotizador!H87</f>
        <v/>
      </c>
      <c r="K63" s="141" t="str">
        <f>Cotizador!I87</f>
        <v/>
      </c>
    </row>
    <row r="64" spans="2:11" x14ac:dyDescent="0.25">
      <c r="B64" s="139" t="str">
        <f>Cotizador!B88</f>
        <v/>
      </c>
      <c r="C64" s="140" t="str">
        <f>Cotizador!C88</f>
        <v/>
      </c>
      <c r="D64" s="141" t="str">
        <f>Cotizador!N88</f>
        <v/>
      </c>
      <c r="E64" s="141" t="str">
        <f>Cotizador!X88</f>
        <v/>
      </c>
      <c r="F64" s="141" t="str">
        <f>Cotizador!AR88</f>
        <v/>
      </c>
      <c r="G64" s="141" t="str">
        <f>Cotizador!AH88</f>
        <v/>
      </c>
      <c r="H64" s="141" t="str">
        <f>Cotizador!E88</f>
        <v/>
      </c>
      <c r="I64" s="141" t="str">
        <f>Cotizador!F88</f>
        <v/>
      </c>
      <c r="J64" s="141" t="str">
        <f>Cotizador!H88</f>
        <v/>
      </c>
      <c r="K64" s="141" t="str">
        <f>Cotizador!I88</f>
        <v/>
      </c>
    </row>
    <row r="65" spans="2:11" x14ac:dyDescent="0.25">
      <c r="B65" s="139" t="str">
        <f>Cotizador!B89</f>
        <v/>
      </c>
      <c r="C65" s="140" t="str">
        <f>Cotizador!C89</f>
        <v/>
      </c>
      <c r="D65" s="141" t="str">
        <f>Cotizador!N89</f>
        <v/>
      </c>
      <c r="E65" s="141" t="str">
        <f>Cotizador!X89</f>
        <v/>
      </c>
      <c r="F65" s="141" t="str">
        <f>Cotizador!AR89</f>
        <v/>
      </c>
      <c r="G65" s="141" t="str">
        <f>Cotizador!AH89</f>
        <v/>
      </c>
      <c r="H65" s="141" t="str">
        <f>Cotizador!E89</f>
        <v/>
      </c>
      <c r="I65" s="141" t="str">
        <f>Cotizador!F89</f>
        <v/>
      </c>
      <c r="J65" s="141" t="str">
        <f>Cotizador!H89</f>
        <v/>
      </c>
      <c r="K65" s="141" t="str">
        <f>Cotizador!I89</f>
        <v/>
      </c>
    </row>
    <row r="66" spans="2:11" x14ac:dyDescent="0.25">
      <c r="B66" s="139" t="str">
        <f>Cotizador!B90</f>
        <v/>
      </c>
      <c r="C66" s="140" t="str">
        <f>Cotizador!C90</f>
        <v/>
      </c>
      <c r="D66" s="141" t="str">
        <f>Cotizador!N90</f>
        <v/>
      </c>
      <c r="E66" s="141" t="str">
        <f>Cotizador!X90</f>
        <v/>
      </c>
      <c r="F66" s="141" t="str">
        <f>Cotizador!AR90</f>
        <v/>
      </c>
      <c r="G66" s="141" t="str">
        <f>Cotizador!AH90</f>
        <v/>
      </c>
      <c r="H66" s="141" t="str">
        <f>Cotizador!E90</f>
        <v/>
      </c>
      <c r="I66" s="141" t="str">
        <f>Cotizador!F90</f>
        <v/>
      </c>
      <c r="J66" s="141" t="str">
        <f>Cotizador!H90</f>
        <v/>
      </c>
      <c r="K66" s="141" t="str">
        <f>Cotizador!I90</f>
        <v/>
      </c>
    </row>
    <row r="67" spans="2:11" x14ac:dyDescent="0.25">
      <c r="B67" s="139" t="str">
        <f>Cotizador!B91</f>
        <v/>
      </c>
      <c r="C67" s="140" t="str">
        <f>Cotizador!C91</f>
        <v/>
      </c>
      <c r="D67" s="141" t="str">
        <f>Cotizador!N91</f>
        <v/>
      </c>
      <c r="E67" s="141" t="str">
        <f>Cotizador!X91</f>
        <v/>
      </c>
      <c r="F67" s="141" t="str">
        <f>Cotizador!AR91</f>
        <v/>
      </c>
      <c r="G67" s="141" t="str">
        <f>Cotizador!AH91</f>
        <v/>
      </c>
      <c r="H67" s="141" t="str">
        <f>Cotizador!E91</f>
        <v/>
      </c>
      <c r="I67" s="141" t="str">
        <f>Cotizador!F91</f>
        <v/>
      </c>
      <c r="J67" s="141" t="str">
        <f>Cotizador!H91</f>
        <v/>
      </c>
      <c r="K67" s="141" t="str">
        <f>Cotizador!I91</f>
        <v/>
      </c>
    </row>
    <row r="68" spans="2:11" x14ac:dyDescent="0.25">
      <c r="B68" s="139" t="str">
        <f>Cotizador!B92</f>
        <v/>
      </c>
      <c r="C68" s="140" t="str">
        <f>Cotizador!C92</f>
        <v/>
      </c>
      <c r="D68" s="141" t="str">
        <f>Cotizador!N92</f>
        <v/>
      </c>
      <c r="E68" s="141" t="str">
        <f>Cotizador!X92</f>
        <v/>
      </c>
      <c r="F68" s="141" t="str">
        <f>Cotizador!AR92</f>
        <v/>
      </c>
      <c r="G68" s="141" t="str">
        <f>Cotizador!AH92</f>
        <v/>
      </c>
      <c r="H68" s="141" t="str">
        <f>Cotizador!E92</f>
        <v/>
      </c>
      <c r="I68" s="141" t="str">
        <f>Cotizador!F92</f>
        <v/>
      </c>
      <c r="J68" s="141" t="str">
        <f>Cotizador!H92</f>
        <v/>
      </c>
      <c r="K68" s="141" t="str">
        <f>Cotizador!I92</f>
        <v/>
      </c>
    </row>
    <row r="69" spans="2:11" x14ac:dyDescent="0.25">
      <c r="B69" s="139" t="str">
        <f>Cotizador!B93</f>
        <v/>
      </c>
      <c r="C69" s="140" t="str">
        <f>Cotizador!C93</f>
        <v/>
      </c>
      <c r="D69" s="141" t="str">
        <f>Cotizador!N93</f>
        <v/>
      </c>
      <c r="E69" s="141" t="str">
        <f>Cotizador!X93</f>
        <v/>
      </c>
      <c r="F69" s="141" t="str">
        <f>Cotizador!AR93</f>
        <v/>
      </c>
      <c r="G69" s="141" t="str">
        <f>Cotizador!AH93</f>
        <v/>
      </c>
      <c r="H69" s="141" t="str">
        <f>Cotizador!E93</f>
        <v/>
      </c>
      <c r="I69" s="141" t="str">
        <f>Cotizador!F93</f>
        <v/>
      </c>
      <c r="J69" s="141" t="str">
        <f>Cotizador!H93</f>
        <v/>
      </c>
      <c r="K69" s="141" t="str">
        <f>Cotizador!I93</f>
        <v/>
      </c>
    </row>
    <row r="70" spans="2:11" x14ac:dyDescent="0.25">
      <c r="B70" s="139" t="str">
        <f>Cotizador!B94</f>
        <v/>
      </c>
      <c r="C70" s="140" t="str">
        <f>Cotizador!C94</f>
        <v/>
      </c>
      <c r="D70" s="141" t="str">
        <f>Cotizador!N94</f>
        <v/>
      </c>
      <c r="E70" s="141" t="str">
        <f>Cotizador!X94</f>
        <v/>
      </c>
      <c r="F70" s="141" t="str">
        <f>Cotizador!AR94</f>
        <v/>
      </c>
      <c r="G70" s="141" t="str">
        <f>Cotizador!AH94</f>
        <v/>
      </c>
      <c r="H70" s="141" t="str">
        <f>Cotizador!E94</f>
        <v/>
      </c>
      <c r="I70" s="141" t="str">
        <f>Cotizador!F94</f>
        <v/>
      </c>
      <c r="J70" s="141" t="str">
        <f>Cotizador!H94</f>
        <v/>
      </c>
      <c r="K70" s="141" t="str">
        <f>Cotizador!I94</f>
        <v/>
      </c>
    </row>
    <row r="71" spans="2:11" x14ac:dyDescent="0.25">
      <c r="B71" s="139" t="str">
        <f>Cotizador!B95</f>
        <v/>
      </c>
      <c r="C71" s="140" t="str">
        <f>Cotizador!C95</f>
        <v/>
      </c>
      <c r="D71" s="141" t="str">
        <f>Cotizador!N95</f>
        <v/>
      </c>
      <c r="E71" s="141" t="str">
        <f>Cotizador!X95</f>
        <v/>
      </c>
      <c r="F71" s="141" t="str">
        <f>Cotizador!AR95</f>
        <v/>
      </c>
      <c r="G71" s="141" t="str">
        <f>Cotizador!AH95</f>
        <v/>
      </c>
      <c r="H71" s="141" t="str">
        <f>Cotizador!E95</f>
        <v/>
      </c>
      <c r="I71" s="141" t="str">
        <f>Cotizador!F95</f>
        <v/>
      </c>
      <c r="J71" s="141" t="str">
        <f>Cotizador!H95</f>
        <v/>
      </c>
      <c r="K71" s="141" t="str">
        <f>Cotizador!I95</f>
        <v/>
      </c>
    </row>
    <row r="72" spans="2:11" x14ac:dyDescent="0.25">
      <c r="B72" s="139" t="str">
        <f>Cotizador!B96</f>
        <v/>
      </c>
      <c r="C72" s="140" t="str">
        <f>Cotizador!C96</f>
        <v/>
      </c>
      <c r="D72" s="141" t="str">
        <f>Cotizador!N96</f>
        <v/>
      </c>
      <c r="E72" s="141" t="str">
        <f>Cotizador!X96</f>
        <v/>
      </c>
      <c r="F72" s="141" t="str">
        <f>Cotizador!AR96</f>
        <v/>
      </c>
      <c r="G72" s="141" t="str">
        <f>Cotizador!AH96</f>
        <v/>
      </c>
      <c r="H72" s="141" t="str">
        <f>Cotizador!E96</f>
        <v/>
      </c>
      <c r="I72" s="141" t="str">
        <f>Cotizador!F96</f>
        <v/>
      </c>
      <c r="J72" s="141" t="str">
        <f>Cotizador!H96</f>
        <v/>
      </c>
      <c r="K72" s="141" t="str">
        <f>Cotizador!I96</f>
        <v/>
      </c>
    </row>
    <row r="73" spans="2:11" x14ac:dyDescent="0.25">
      <c r="B73" s="139" t="str">
        <f>Cotizador!B97</f>
        <v/>
      </c>
      <c r="C73" s="140" t="str">
        <f>Cotizador!C97</f>
        <v/>
      </c>
      <c r="D73" s="141" t="str">
        <f>Cotizador!N97</f>
        <v/>
      </c>
      <c r="E73" s="141" t="str">
        <f>Cotizador!X97</f>
        <v/>
      </c>
      <c r="F73" s="141" t="str">
        <f>Cotizador!AR97</f>
        <v/>
      </c>
      <c r="G73" s="141" t="str">
        <f>Cotizador!AH97</f>
        <v/>
      </c>
      <c r="H73" s="141" t="str">
        <f>Cotizador!E97</f>
        <v/>
      </c>
      <c r="I73" s="141" t="str">
        <f>Cotizador!F97</f>
        <v/>
      </c>
      <c r="J73" s="141" t="str">
        <f>Cotizador!H97</f>
        <v/>
      </c>
      <c r="K73" s="141" t="str">
        <f>Cotizador!I97</f>
        <v/>
      </c>
    </row>
    <row r="74" spans="2:11" x14ac:dyDescent="0.25">
      <c r="B74" s="139" t="str">
        <f>Cotizador!B98</f>
        <v/>
      </c>
      <c r="C74" s="140" t="str">
        <f>Cotizador!C98</f>
        <v/>
      </c>
      <c r="D74" s="141" t="str">
        <f>Cotizador!N98</f>
        <v/>
      </c>
      <c r="E74" s="141" t="str">
        <f>Cotizador!X98</f>
        <v/>
      </c>
      <c r="F74" s="141" t="str">
        <f>Cotizador!AR98</f>
        <v/>
      </c>
      <c r="G74" s="141" t="str">
        <f>Cotizador!AH98</f>
        <v/>
      </c>
      <c r="H74" s="141" t="str">
        <f>Cotizador!E98</f>
        <v/>
      </c>
      <c r="I74" s="141" t="str">
        <f>Cotizador!F98</f>
        <v/>
      </c>
      <c r="J74" s="141" t="str">
        <f>Cotizador!H98</f>
        <v/>
      </c>
      <c r="K74" s="141" t="str">
        <f>Cotizador!I98</f>
        <v/>
      </c>
    </row>
    <row r="75" spans="2:11" x14ac:dyDescent="0.25">
      <c r="B75" s="139" t="str">
        <f>Cotizador!B99</f>
        <v/>
      </c>
      <c r="C75" s="140" t="str">
        <f>Cotizador!C99</f>
        <v/>
      </c>
      <c r="D75" s="141" t="str">
        <f>Cotizador!N99</f>
        <v/>
      </c>
      <c r="E75" s="141" t="str">
        <f>Cotizador!X99</f>
        <v/>
      </c>
      <c r="F75" s="141" t="str">
        <f>Cotizador!AR99</f>
        <v/>
      </c>
      <c r="G75" s="141" t="str">
        <f>Cotizador!AH99</f>
        <v/>
      </c>
      <c r="H75" s="141" t="str">
        <f>Cotizador!E99</f>
        <v/>
      </c>
      <c r="I75" s="141" t="str">
        <f>Cotizador!F99</f>
        <v/>
      </c>
      <c r="J75" s="141" t="str">
        <f>Cotizador!H99</f>
        <v/>
      </c>
      <c r="K75" s="141" t="str">
        <f>Cotizador!I99</f>
        <v/>
      </c>
    </row>
    <row r="76" spans="2:11" x14ac:dyDescent="0.25">
      <c r="B76" s="139" t="str">
        <f>Cotizador!B100</f>
        <v/>
      </c>
      <c r="C76" s="140" t="str">
        <f>Cotizador!C100</f>
        <v/>
      </c>
      <c r="D76" s="141" t="str">
        <f>Cotizador!N100</f>
        <v/>
      </c>
      <c r="E76" s="141" t="str">
        <f>Cotizador!X100</f>
        <v/>
      </c>
      <c r="F76" s="141" t="str">
        <f>Cotizador!AR100</f>
        <v/>
      </c>
      <c r="G76" s="141" t="str">
        <f>Cotizador!AH100</f>
        <v/>
      </c>
      <c r="H76" s="141" t="str">
        <f>Cotizador!E100</f>
        <v/>
      </c>
      <c r="I76" s="141" t="str">
        <f>Cotizador!F100</f>
        <v/>
      </c>
      <c r="J76" s="141" t="str">
        <f>Cotizador!H100</f>
        <v/>
      </c>
      <c r="K76" s="141" t="str">
        <f>Cotizador!I100</f>
        <v/>
      </c>
    </row>
    <row r="77" spans="2:11" x14ac:dyDescent="0.25">
      <c r="B77" s="139" t="str">
        <f>Cotizador!B101</f>
        <v/>
      </c>
      <c r="C77" s="140" t="str">
        <f>Cotizador!C101</f>
        <v/>
      </c>
      <c r="D77" s="141" t="str">
        <f>Cotizador!N101</f>
        <v/>
      </c>
      <c r="E77" s="141" t="str">
        <f>Cotizador!X101</f>
        <v/>
      </c>
      <c r="F77" s="141" t="str">
        <f>Cotizador!AR101</f>
        <v/>
      </c>
      <c r="G77" s="141" t="str">
        <f>Cotizador!AH101</f>
        <v/>
      </c>
      <c r="H77" s="141" t="str">
        <f>Cotizador!E101</f>
        <v/>
      </c>
      <c r="I77" s="141" t="str">
        <f>Cotizador!F101</f>
        <v/>
      </c>
      <c r="J77" s="141" t="str">
        <f>Cotizador!H101</f>
        <v/>
      </c>
      <c r="K77" s="141" t="str">
        <f>Cotizador!I101</f>
        <v/>
      </c>
    </row>
    <row r="78" spans="2:11" x14ac:dyDescent="0.25">
      <c r="B78" s="139" t="str">
        <f>Cotizador!B102</f>
        <v/>
      </c>
      <c r="C78" s="140" t="str">
        <f>Cotizador!C102</f>
        <v/>
      </c>
      <c r="D78" s="141" t="str">
        <f>Cotizador!N102</f>
        <v/>
      </c>
      <c r="E78" s="141" t="str">
        <f>Cotizador!X102</f>
        <v/>
      </c>
      <c r="F78" s="141" t="str">
        <f>Cotizador!AR102</f>
        <v/>
      </c>
      <c r="G78" s="141" t="str">
        <f>Cotizador!AH102</f>
        <v/>
      </c>
      <c r="H78" s="141" t="str">
        <f>Cotizador!E102</f>
        <v/>
      </c>
      <c r="I78" s="141" t="str">
        <f>Cotizador!F102</f>
        <v/>
      </c>
      <c r="J78" s="141" t="str">
        <f>Cotizador!H102</f>
        <v/>
      </c>
      <c r="K78" s="141" t="str">
        <f>Cotizador!I102</f>
        <v/>
      </c>
    </row>
    <row r="79" spans="2:11" x14ac:dyDescent="0.25">
      <c r="B79" s="139" t="str">
        <f>Cotizador!B103</f>
        <v/>
      </c>
      <c r="C79" s="140" t="str">
        <f>Cotizador!C103</f>
        <v/>
      </c>
      <c r="D79" s="141" t="str">
        <f>Cotizador!N103</f>
        <v/>
      </c>
      <c r="E79" s="141" t="str">
        <f>Cotizador!X103</f>
        <v/>
      </c>
      <c r="F79" s="141" t="str">
        <f>Cotizador!AR103</f>
        <v/>
      </c>
      <c r="G79" s="141" t="str">
        <f>Cotizador!AH103</f>
        <v/>
      </c>
      <c r="H79" s="141" t="str">
        <f>Cotizador!E103</f>
        <v/>
      </c>
      <c r="I79" s="141" t="str">
        <f>Cotizador!F103</f>
        <v/>
      </c>
      <c r="J79" s="141" t="str">
        <f>Cotizador!H103</f>
        <v/>
      </c>
      <c r="K79" s="141" t="str">
        <f>Cotizador!I103</f>
        <v/>
      </c>
    </row>
    <row r="80" spans="2:11" x14ac:dyDescent="0.25">
      <c r="B80" s="139" t="str">
        <f>Cotizador!B104</f>
        <v/>
      </c>
      <c r="C80" s="140" t="str">
        <f>Cotizador!C104</f>
        <v/>
      </c>
      <c r="D80" s="141" t="str">
        <f>Cotizador!N104</f>
        <v/>
      </c>
      <c r="E80" s="141" t="str">
        <f>Cotizador!X104</f>
        <v/>
      </c>
      <c r="F80" s="141" t="str">
        <f>Cotizador!AR104</f>
        <v/>
      </c>
      <c r="G80" s="141" t="str">
        <f>Cotizador!AH104</f>
        <v/>
      </c>
      <c r="H80" s="141" t="str">
        <f>Cotizador!E104</f>
        <v/>
      </c>
      <c r="I80" s="141" t="str">
        <f>Cotizador!F104</f>
        <v/>
      </c>
      <c r="J80" s="141" t="str">
        <f>Cotizador!H104</f>
        <v/>
      </c>
      <c r="K80" s="141" t="str">
        <f>Cotizador!I104</f>
        <v/>
      </c>
    </row>
    <row r="81" spans="2:11" x14ac:dyDescent="0.25">
      <c r="B81" s="139" t="str">
        <f>Cotizador!B105</f>
        <v/>
      </c>
      <c r="C81" s="140" t="str">
        <f>Cotizador!C105</f>
        <v/>
      </c>
      <c r="D81" s="141" t="str">
        <f>Cotizador!N105</f>
        <v/>
      </c>
      <c r="E81" s="141" t="str">
        <f>Cotizador!X105</f>
        <v/>
      </c>
      <c r="F81" s="141" t="str">
        <f>Cotizador!AR105</f>
        <v/>
      </c>
      <c r="G81" s="141" t="str">
        <f>Cotizador!AH105</f>
        <v/>
      </c>
      <c r="H81" s="141" t="str">
        <f>Cotizador!E105</f>
        <v/>
      </c>
      <c r="I81" s="141" t="str">
        <f>Cotizador!F105</f>
        <v/>
      </c>
      <c r="J81" s="141" t="str">
        <f>Cotizador!H105</f>
        <v/>
      </c>
      <c r="K81" s="141" t="str">
        <f>Cotizador!I105</f>
        <v/>
      </c>
    </row>
    <row r="82" spans="2:11" x14ac:dyDescent="0.25">
      <c r="B82" s="139" t="str">
        <f>Cotizador!B106</f>
        <v/>
      </c>
      <c r="C82" s="140" t="str">
        <f>Cotizador!C106</f>
        <v/>
      </c>
      <c r="D82" s="141" t="str">
        <f>Cotizador!N106</f>
        <v/>
      </c>
      <c r="E82" s="141" t="str">
        <f>Cotizador!X106</f>
        <v/>
      </c>
      <c r="F82" s="141" t="str">
        <f>Cotizador!AR106</f>
        <v/>
      </c>
      <c r="G82" s="141" t="str">
        <f>Cotizador!AH106</f>
        <v/>
      </c>
      <c r="H82" s="141" t="str">
        <f>Cotizador!E106</f>
        <v/>
      </c>
      <c r="I82" s="141" t="str">
        <f>Cotizador!F106</f>
        <v/>
      </c>
      <c r="J82" s="141" t="str">
        <f>Cotizador!H106</f>
        <v/>
      </c>
      <c r="K82" s="141" t="str">
        <f>Cotizador!I106</f>
        <v/>
      </c>
    </row>
    <row r="83" spans="2:11" x14ac:dyDescent="0.25">
      <c r="B83" s="139" t="str">
        <f>Cotizador!B107</f>
        <v/>
      </c>
      <c r="C83" s="140" t="str">
        <f>Cotizador!C107</f>
        <v/>
      </c>
      <c r="D83" s="141" t="str">
        <f>Cotizador!N107</f>
        <v/>
      </c>
      <c r="E83" s="141" t="str">
        <f>Cotizador!X107</f>
        <v/>
      </c>
      <c r="F83" s="141" t="str">
        <f>Cotizador!AR107</f>
        <v/>
      </c>
      <c r="G83" s="141" t="str">
        <f>Cotizador!AH107</f>
        <v/>
      </c>
      <c r="H83" s="141" t="str">
        <f>Cotizador!E107</f>
        <v/>
      </c>
      <c r="I83" s="141" t="str">
        <f>Cotizador!F107</f>
        <v/>
      </c>
      <c r="J83" s="141" t="str">
        <f>Cotizador!H107</f>
        <v/>
      </c>
      <c r="K83" s="141" t="str">
        <f>Cotizador!I107</f>
        <v/>
      </c>
    </row>
    <row r="84" spans="2:11" x14ac:dyDescent="0.25">
      <c r="B84" s="139"/>
      <c r="C84" s="140"/>
      <c r="D84" s="141"/>
      <c r="E84" s="141"/>
      <c r="F84" s="141"/>
      <c r="G84" s="141"/>
      <c r="H84" s="141"/>
    </row>
    <row r="85" spans="2:11" x14ac:dyDescent="0.25">
      <c r="B85" s="139"/>
      <c r="C85" s="140"/>
      <c r="D85" s="141"/>
      <c r="E85" s="141"/>
      <c r="F85" s="141"/>
      <c r="G85" s="141"/>
      <c r="H85" s="141"/>
    </row>
    <row r="86" spans="2:11" x14ac:dyDescent="0.25">
      <c r="B86" s="139"/>
      <c r="C86" s="140"/>
      <c r="D86" s="141"/>
      <c r="E86" s="141"/>
      <c r="F86" s="141"/>
      <c r="G86" s="141"/>
      <c r="H86" s="141"/>
      <c r="J86" s="142" t="s">
        <v>156</v>
      </c>
      <c r="K86" s="143">
        <f>SUM(K11:K83)</f>
        <v>550431.7141176142</v>
      </c>
    </row>
    <row r="87" spans="2:11" x14ac:dyDescent="0.25">
      <c r="B87" s="139"/>
      <c r="C87" s="140"/>
    </row>
    <row r="88" spans="2:11" x14ac:dyDescent="0.25">
      <c r="E88" s="180"/>
      <c r="F88" s="180"/>
      <c r="G88" s="180"/>
      <c r="H88" s="180"/>
    </row>
    <row r="89" spans="2:11" x14ac:dyDescent="0.25">
      <c r="E89" s="181" t="s">
        <v>157</v>
      </c>
      <c r="F89" s="181"/>
      <c r="G89" s="181"/>
      <c r="H89" s="181"/>
    </row>
  </sheetData>
  <mergeCells count="4">
    <mergeCell ref="B1:K1"/>
    <mergeCell ref="C2:D2"/>
    <mergeCell ref="E88:H88"/>
    <mergeCell ref="E89:H89"/>
  </mergeCells>
  <pageMargins left="0.7" right="0.7" top="0.75" bottom="0.75" header="0.3" footer="0.3"/>
  <pageSetup paperSize="9" orientation="portrait" verticalDpi="597" r:id="rId1"/>
  <headerFooter>
    <oddHeader>&amp;L&amp;"Calibri"&amp;10&amp;K000000Confidential&amp;1#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7"/>
  <sheetViews>
    <sheetView workbookViewId="0">
      <selection activeCell="C18" sqref="C18"/>
    </sheetView>
  </sheetViews>
  <sheetFormatPr baseColWidth="10" defaultColWidth="11.44140625" defaultRowHeight="14.4" x14ac:dyDescent="0.3"/>
  <cols>
    <col min="1" max="2" width="20.33203125" bestFit="1" customWidth="1"/>
    <col min="3" max="3" width="13.44140625" bestFit="1" customWidth="1"/>
    <col min="4" max="4" width="20.33203125" bestFit="1" customWidth="1"/>
    <col min="5" max="5" width="5.88671875" bestFit="1" customWidth="1"/>
    <col min="6" max="6" width="3" bestFit="1" customWidth="1"/>
    <col min="9" max="9" width="2" bestFit="1" customWidth="1"/>
  </cols>
  <sheetData>
    <row r="1" spans="1:9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>
        <v>12</v>
      </c>
      <c r="I1">
        <v>0</v>
      </c>
    </row>
    <row r="2" spans="1:9" x14ac:dyDescent="0.3">
      <c r="B2" t="s">
        <v>25</v>
      </c>
      <c r="D2" t="s">
        <v>26</v>
      </c>
      <c r="F2">
        <v>24</v>
      </c>
      <c r="I2">
        <v>1</v>
      </c>
    </row>
    <row r="3" spans="1:9" x14ac:dyDescent="0.3">
      <c r="B3" t="s">
        <v>27</v>
      </c>
      <c r="D3" t="s">
        <v>28</v>
      </c>
      <c r="F3">
        <v>36</v>
      </c>
      <c r="I3">
        <v>2</v>
      </c>
    </row>
    <row r="4" spans="1:9" x14ac:dyDescent="0.3">
      <c r="D4" t="s">
        <v>135</v>
      </c>
      <c r="F4">
        <v>48</v>
      </c>
    </row>
    <row r="5" spans="1:9" x14ac:dyDescent="0.3">
      <c r="F5">
        <v>60</v>
      </c>
    </row>
    <row r="6" spans="1:9" x14ac:dyDescent="0.3">
      <c r="A6" t="s">
        <v>21</v>
      </c>
      <c r="F6">
        <v>72</v>
      </c>
    </row>
    <row r="7" spans="1:9" x14ac:dyDescent="0.3">
      <c r="A7" t="s">
        <v>25</v>
      </c>
    </row>
    <row r="9" spans="1:9" x14ac:dyDescent="0.3">
      <c r="A9" t="s">
        <v>158</v>
      </c>
    </row>
    <row r="10" spans="1:9" x14ac:dyDescent="0.3">
      <c r="A10" s="150" t="s">
        <v>25</v>
      </c>
      <c r="B10" s="150" t="s">
        <v>21</v>
      </c>
      <c r="C10" s="150" t="s">
        <v>27</v>
      </c>
      <c r="D10" s="150" t="s">
        <v>159</v>
      </c>
    </row>
    <row r="11" spans="1:9" x14ac:dyDescent="0.3">
      <c r="A11" t="s">
        <v>23</v>
      </c>
      <c r="B11" t="s">
        <v>23</v>
      </c>
      <c r="C11" t="s">
        <v>23</v>
      </c>
      <c r="D11" t="s">
        <v>26</v>
      </c>
    </row>
    <row r="12" spans="1:9" x14ac:dyDescent="0.3">
      <c r="A12" t="s">
        <v>26</v>
      </c>
      <c r="B12" t="s">
        <v>26</v>
      </c>
    </row>
    <row r="13" spans="1:9" x14ac:dyDescent="0.3">
      <c r="A13" t="s">
        <v>28</v>
      </c>
      <c r="B13" t="s">
        <v>28</v>
      </c>
    </row>
    <row r="14" spans="1:9" x14ac:dyDescent="0.3">
      <c r="B14" t="s">
        <v>135</v>
      </c>
    </row>
    <row r="16" spans="1:9" x14ac:dyDescent="0.3">
      <c r="A16" t="s">
        <v>160</v>
      </c>
      <c r="B16" t="s">
        <v>161</v>
      </c>
      <c r="C16" t="s">
        <v>162</v>
      </c>
    </row>
    <row r="17" spans="1:3" x14ac:dyDescent="0.3">
      <c r="A17" s="152">
        <v>0.1</v>
      </c>
      <c r="B17" s="152">
        <v>0.1</v>
      </c>
      <c r="C17" s="152">
        <v>0.1</v>
      </c>
    </row>
  </sheetData>
  <pageMargins left="0.7" right="0.7" top="0.75" bottom="0.75" header="0.3" footer="0.3"/>
  <pageSetup paperSize="9" orientation="portrait" verticalDpi="597" r:id="rId1"/>
  <headerFooter>
    <oddHeader>&amp;L&amp;"Calibri"&amp;10&amp;K000000Confidential&amp;1#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2"/>
  <sheetViews>
    <sheetView workbookViewId="0">
      <selection activeCell="C3" sqref="C3"/>
    </sheetView>
  </sheetViews>
  <sheetFormatPr baseColWidth="10" defaultColWidth="11.44140625" defaultRowHeight="14.4" x14ac:dyDescent="0.3"/>
  <sheetData>
    <row r="1" spans="1:3" x14ac:dyDescent="0.3">
      <c r="A1" t="s">
        <v>49</v>
      </c>
      <c r="C1" t="s">
        <v>122</v>
      </c>
    </row>
    <row r="2" spans="1:3" x14ac:dyDescent="0.3">
      <c r="A2" t="s">
        <v>123</v>
      </c>
      <c r="C2" t="s">
        <v>124</v>
      </c>
    </row>
  </sheetData>
  <pageMargins left="0.7" right="0.7" top="0.75" bottom="0.75" header="0.3" footer="0.3"/>
  <pageSetup paperSize="9" orientation="portrait" verticalDpi="597" r:id="rId1"/>
  <headerFooter>
    <oddHeader>&amp;L&amp;"Calibri"&amp;10&amp;K000000Confidential&amp;1#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J28"/>
  <sheetViews>
    <sheetView workbookViewId="0">
      <selection activeCell="C28" sqref="C28"/>
    </sheetView>
  </sheetViews>
  <sheetFormatPr baseColWidth="10" defaultColWidth="11.44140625" defaultRowHeight="14.4" x14ac:dyDescent="0.3"/>
  <cols>
    <col min="1" max="1" width="11.44140625" style="3"/>
    <col min="2" max="2" width="31.44140625" style="17" customWidth="1"/>
    <col min="3" max="3" width="26.6640625" style="17" customWidth="1"/>
    <col min="4" max="4" width="14.44140625" style="6" customWidth="1"/>
    <col min="5" max="9" width="11.44140625" style="3"/>
    <col min="10" max="10" width="11.44140625" style="6" customWidth="1"/>
    <col min="11" max="11" width="11.44140625" style="3" customWidth="1"/>
    <col min="12" max="16384" width="11.44140625" style="3"/>
  </cols>
  <sheetData>
    <row r="2" spans="2:4" ht="23.4" x14ac:dyDescent="0.3">
      <c r="B2" s="173" t="s">
        <v>81</v>
      </c>
      <c r="C2" s="173"/>
      <c r="D2" s="173"/>
    </row>
    <row r="4" spans="2:4" ht="15" thickBot="1" x14ac:dyDescent="0.35">
      <c r="B4" s="172" t="s">
        <v>82</v>
      </c>
      <c r="C4" s="172"/>
    </row>
    <row r="5" spans="2:4" ht="17.25" customHeight="1" thickBot="1" x14ac:dyDescent="0.35">
      <c r="B5" s="60" t="s">
        <v>83</v>
      </c>
      <c r="C5" s="61">
        <f>Cotizador!C5</f>
        <v>537900</v>
      </c>
    </row>
    <row r="6" spans="2:4" ht="17.25" customHeight="1" thickBot="1" x14ac:dyDescent="0.35">
      <c r="B6" s="60" t="s">
        <v>84</v>
      </c>
      <c r="C6" s="62">
        <f>Cotizador!C6</f>
        <v>53790</v>
      </c>
      <c r="D6" s="63">
        <f>C6/C5</f>
        <v>0.1</v>
      </c>
    </row>
    <row r="7" spans="2:4" ht="15" thickBot="1" x14ac:dyDescent="0.35">
      <c r="B7" s="64" t="s">
        <v>33</v>
      </c>
      <c r="C7" s="65">
        <f>C5-C6</f>
        <v>484110</v>
      </c>
    </row>
    <row r="9" spans="2:4" ht="15" thickBot="1" x14ac:dyDescent="0.35">
      <c r="B9" s="172" t="s">
        <v>82</v>
      </c>
      <c r="C9" s="172"/>
    </row>
    <row r="10" spans="2:4" x14ac:dyDescent="0.3">
      <c r="B10" s="66" t="s">
        <v>24</v>
      </c>
      <c r="C10" s="67">
        <f>Cotizador!C19</f>
        <v>12</v>
      </c>
    </row>
    <row r="11" spans="2:4" x14ac:dyDescent="0.3">
      <c r="B11" s="60" t="s">
        <v>85</v>
      </c>
      <c r="C11" s="68">
        <f>Cotizador!C20</f>
        <v>0.1</v>
      </c>
    </row>
    <row r="12" spans="2:4" ht="15" thickBot="1" x14ac:dyDescent="0.35">
      <c r="B12" s="64" t="s">
        <v>86</v>
      </c>
      <c r="C12" s="69">
        <v>9.9000000000000005E-2</v>
      </c>
    </row>
    <row r="14" spans="2:4" ht="15" thickBot="1" x14ac:dyDescent="0.35">
      <c r="B14" s="172" t="s">
        <v>87</v>
      </c>
      <c r="C14" s="172"/>
    </row>
    <row r="15" spans="2:4" ht="15" thickBot="1" x14ac:dyDescent="0.35">
      <c r="B15" s="70" t="s">
        <v>88</v>
      </c>
      <c r="C15" s="71">
        <f>Cotizador!C15</f>
        <v>800</v>
      </c>
      <c r="D15" s="72"/>
    </row>
    <row r="16" spans="2:4" x14ac:dyDescent="0.3">
      <c r="B16" s="73"/>
      <c r="C16" s="74"/>
    </row>
    <row r="17" spans="2:6" ht="15" thickBot="1" x14ac:dyDescent="0.35">
      <c r="B17" s="172" t="s">
        <v>87</v>
      </c>
      <c r="C17" s="172"/>
    </row>
    <row r="18" spans="2:6" ht="15" thickBot="1" x14ac:dyDescent="0.35">
      <c r="B18" s="70" t="s">
        <v>89</v>
      </c>
      <c r="C18" s="71" t="e">
        <f>Cotizador!#REF!</f>
        <v>#REF!</v>
      </c>
      <c r="D18" s="72"/>
    </row>
    <row r="19" spans="2:6" x14ac:dyDescent="0.3">
      <c r="F19" s="18"/>
    </row>
    <row r="20" spans="2:6" ht="15" thickBot="1" x14ac:dyDescent="0.35">
      <c r="B20" s="172" t="s">
        <v>87</v>
      </c>
      <c r="C20" s="172"/>
    </row>
    <row r="21" spans="2:6" x14ac:dyDescent="0.3">
      <c r="B21" s="66" t="s">
        <v>90</v>
      </c>
      <c r="C21" s="75" t="e">
        <f>-PMT(C11/12,$C$10,$C$18,0)</f>
        <v>#REF!</v>
      </c>
    </row>
    <row r="22" spans="2:6" x14ac:dyDescent="0.3">
      <c r="B22" s="60" t="s">
        <v>91</v>
      </c>
      <c r="C22" s="76" t="e">
        <f>-PMT(C12/12,$C$10,$C$18,0)</f>
        <v>#REF!</v>
      </c>
    </row>
    <row r="23" spans="2:6" ht="15" thickBot="1" x14ac:dyDescent="0.35">
      <c r="B23" s="64" t="s">
        <v>92</v>
      </c>
      <c r="C23" s="77" t="e">
        <f>C21-C22</f>
        <v>#REF!</v>
      </c>
    </row>
    <row r="24" spans="2:6" x14ac:dyDescent="0.3">
      <c r="B24" s="73"/>
      <c r="C24" s="78"/>
    </row>
    <row r="25" spans="2:6" ht="15" thickBot="1" x14ac:dyDescent="0.35">
      <c r="B25" s="172" t="s">
        <v>93</v>
      </c>
      <c r="C25" s="172"/>
    </row>
    <row r="26" spans="2:6" x14ac:dyDescent="0.3">
      <c r="B26" s="66" t="s">
        <v>94</v>
      </c>
      <c r="C26" s="75" t="e">
        <f>-PV(C11/12,C10,C23,0)</f>
        <v>#REF!</v>
      </c>
    </row>
    <row r="27" spans="2:6" x14ac:dyDescent="0.3">
      <c r="B27" s="60" t="s">
        <v>95</v>
      </c>
      <c r="C27" s="76" t="e">
        <f>C26*0.16</f>
        <v>#REF!</v>
      </c>
    </row>
    <row r="28" spans="2:6" ht="15" thickBot="1" x14ac:dyDescent="0.35">
      <c r="B28" s="79" t="s">
        <v>96</v>
      </c>
      <c r="C28" s="80" t="e">
        <f>C26+C27</f>
        <v>#REF!</v>
      </c>
    </row>
  </sheetData>
  <mergeCells count="7">
    <mergeCell ref="B25:C25"/>
    <mergeCell ref="B2:D2"/>
    <mergeCell ref="B4:C4"/>
    <mergeCell ref="B9:C9"/>
    <mergeCell ref="B14:C14"/>
    <mergeCell ref="B17:C17"/>
    <mergeCell ref="B20:C20"/>
  </mergeCells>
  <pageMargins left="0.7" right="0.7" top="0.75" bottom="0.75" header="0.3" footer="0.3"/>
  <pageSetup orientation="portrait" verticalDpi="597" r:id="rId1"/>
  <headerFooter>
    <oddHeader>&amp;L&amp;"Calibri"&amp;10&amp;K000000Confidential&amp;1#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E7FB6B77EF4114FAC7A3C956D1E87E8" ma:contentTypeVersion="13" ma:contentTypeDescription="Crear nuevo documento." ma:contentTypeScope="" ma:versionID="e7757f983a0ca2fcc47bb2b94f7ebf44">
  <xsd:schema xmlns:xsd="http://www.w3.org/2001/XMLSchema" xmlns:xs="http://www.w3.org/2001/XMLSchema" xmlns:p="http://schemas.microsoft.com/office/2006/metadata/properties" xmlns:ns2="7d90ff8d-eb93-4275-82cf-f467f946a7ad" xmlns:ns3="f9ef7c42-2872-48f2-8db1-8ddfefdb6d3b" targetNamespace="http://schemas.microsoft.com/office/2006/metadata/properties" ma:root="true" ma:fieldsID="cabe22b71258c8bc456d0bf32e35e450" ns2:_="" ns3:_="">
    <xsd:import namespace="7d90ff8d-eb93-4275-82cf-f467f946a7ad"/>
    <xsd:import namespace="f9ef7c42-2872-48f2-8db1-8ddfefdb6d3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90ff8d-eb93-4275-82cf-f467f946a7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7a34b7c3-1fe0-489f-8b53-5aa7e765b98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ef7c42-2872-48f2-8db1-8ddfefdb6d3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3476eb53-4134-4859-8394-cfc17098d47c}" ma:internalName="TaxCatchAll" ma:showField="CatchAllData" ma:web="f9ef7c42-2872-48f2-8db1-8ddfefdb6d3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4FCD5B-542C-4C0C-A608-E7B899001F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90ff8d-eb93-4275-82cf-f467f946a7ad"/>
    <ds:schemaRef ds:uri="f9ef7c42-2872-48f2-8db1-8ddfefdb6d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449785-FE04-4A7A-8AFD-54F44F2FB57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</vt:i4>
      </vt:variant>
    </vt:vector>
  </HeadingPairs>
  <TitlesOfParts>
    <vt:vector size="12" baseType="lpstr">
      <vt:lpstr>Cotizador</vt:lpstr>
      <vt:lpstr>Fechas de pago</vt:lpstr>
      <vt:lpstr>Subsidio</vt:lpstr>
      <vt:lpstr>CAT</vt:lpstr>
      <vt:lpstr>TA</vt:lpstr>
      <vt:lpstr>Hoja2</vt:lpstr>
      <vt:lpstr>Hoja3</vt:lpstr>
      <vt:lpstr>Simulador Subsidio</vt:lpstr>
      <vt:lpstr>Contado</vt:lpstr>
      <vt:lpstr>Externo</vt:lpstr>
      <vt:lpstr>Financiado</vt:lpstr>
      <vt:lpstr>Gratis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ZAMARRIPA MARTINEZ</dc:creator>
  <cp:keywords/>
  <dc:description/>
  <cp:lastModifiedBy>Julio García</cp:lastModifiedBy>
  <cp:revision/>
  <dcterms:created xsi:type="dcterms:W3CDTF">2018-06-19T21:26:36Z</dcterms:created>
  <dcterms:modified xsi:type="dcterms:W3CDTF">2024-03-06T22:11:30Z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c41c091-3cbc-4dba-8b59-ce62f19500db_Enabled">
    <vt:lpwstr>true</vt:lpwstr>
  </property>
  <property fmtid="{D5CDD505-2E9C-101B-9397-08002B2CF9AE}" pid="3" name="MSIP_Label_3c41c091-3cbc-4dba-8b59-ce62f19500db_SetDate">
    <vt:lpwstr>2023-09-21T23:39:49Z</vt:lpwstr>
  </property>
  <property fmtid="{D5CDD505-2E9C-101B-9397-08002B2CF9AE}" pid="4" name="MSIP_Label_3c41c091-3cbc-4dba-8b59-ce62f19500db_Method">
    <vt:lpwstr>Privileged</vt:lpwstr>
  </property>
  <property fmtid="{D5CDD505-2E9C-101B-9397-08002B2CF9AE}" pid="5" name="MSIP_Label_3c41c091-3cbc-4dba-8b59-ce62f19500db_Name">
    <vt:lpwstr>Confidential_0_1</vt:lpwstr>
  </property>
  <property fmtid="{D5CDD505-2E9C-101B-9397-08002B2CF9AE}" pid="6" name="MSIP_Label_3c41c091-3cbc-4dba-8b59-ce62f19500db_SiteId">
    <vt:lpwstr>35595a02-4d6d-44ac-99e1-f9ab4cd872db</vt:lpwstr>
  </property>
  <property fmtid="{D5CDD505-2E9C-101B-9397-08002B2CF9AE}" pid="7" name="MSIP_Label_3c41c091-3cbc-4dba-8b59-ce62f19500db_ActionId">
    <vt:lpwstr>e3970a2f-5039-46db-944b-fcac79289032</vt:lpwstr>
  </property>
  <property fmtid="{D5CDD505-2E9C-101B-9397-08002B2CF9AE}" pid="8" name="MSIP_Label_3c41c091-3cbc-4dba-8b59-ce62f19500db_ContentBits">
    <vt:lpwstr>1</vt:lpwstr>
  </property>
</Properties>
</file>